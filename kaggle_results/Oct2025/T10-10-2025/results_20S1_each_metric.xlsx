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1.git_projs\MedicalQA\kaggle_results\T10-10-2025\"/>
    </mc:Choice>
  </mc:AlternateContent>
  <xr:revisionPtr revIDLastSave="0" documentId="13_ncr:1_{BA90DADD-9ED6-49CD-BD88-8F9CD66DEF5D}" xr6:coauthVersionLast="47" xr6:coauthVersionMax="47" xr10:uidLastSave="{00000000-0000-0000-0000-000000000000}"/>
  <bookViews>
    <workbookView xWindow="-110" yWindow="-110" windowWidth="38620" windowHeight="21220" xr2:uid="{23585C1E-9F08-4873-B7D7-46DEDCA2319B}"/>
  </bookViews>
  <sheets>
    <sheet name="results_20S1_each_metr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 i="1"/>
  <c r="L3" i="1"/>
  <c r="L4" i="1"/>
  <c r="L5" i="1"/>
  <c r="L6" i="1"/>
  <c r="L7" i="1"/>
  <c r="L8" i="1"/>
  <c r="L9" i="1"/>
  <c r="L10" i="1"/>
  <c r="L11" i="1"/>
  <c r="L12" i="1"/>
  <c r="L13" i="1"/>
  <c r="L14" i="1"/>
  <c r="L15" i="1"/>
  <c r="L16" i="1"/>
  <c r="L17" i="1"/>
  <c r="L18" i="1"/>
  <c r="L19" i="1"/>
  <c r="L20" i="1"/>
  <c r="L21" i="1"/>
  <c r="L2" i="1"/>
</calcChain>
</file>

<file path=xl/sharedStrings.xml><?xml version="1.0" encoding="utf-8"?>
<sst xmlns="http://schemas.openxmlformats.org/spreadsheetml/2006/main" count="177" uniqueCount="135">
  <si>
    <t>Sample_ID</t>
  </si>
  <si>
    <t>Model</t>
  </si>
  <si>
    <t>System_Prompt</t>
  </si>
  <si>
    <t>Question</t>
  </si>
  <si>
    <t>Context</t>
  </si>
  <si>
    <t>Ground_Truth_Answer</t>
  </si>
  <si>
    <t>Extract_EN_Answer</t>
  </si>
  <si>
    <t>Extract_EN_ROUGE-L</t>
  </si>
  <si>
    <t>Extract_EN_BLEU</t>
  </si>
  <si>
    <t>Extract_EN_METEOR</t>
  </si>
  <si>
    <t>Extract_EN_BERTScore-F1</t>
  </si>
  <si>
    <t>unsloth/Qwen3-0.6B-unsloth-bnb-4bit</t>
  </si>
  <si>
    <t>Expert_SP_EN</t>
  </si>
  <si>
    <t>Xuyên khung được dùng để điều trị những bệnh nào?</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</si>
  <si>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</si>
  <si>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Xuyên khung được dùng để điều trị nhức đầu, hoa mắt, phong thấp, đau mỏi cơ thể, kinh nguyệt không đều, cảm mạo,…</t>
  </si>
  <si>
    <t>Xuyên khung được dùng để điều trị các bệnh như nhức đầu, hoa mắt, phong thấp, đau mỏi cơ thể, kinh nguyệt không đều, cảm mạo,…</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</si>
  <si>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</si>
  <si>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</si>
  <si>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Thuốc Acetylcystein 200 mg dùng để làm thông đường hô hấp trong viêm khí quản, viêm phổi.</t>
  </si>
  <si>
    <t>Thuốc Acetylcystein 200 mg được dùng để làm thuốc giải độc trong quá liều Paracetamol.</t>
  </si>
  <si>
    <t>Rau ngổ có chứa những thành phần hóa học nào?</t>
  </si>
  <si>
    <t>Rau ngổ chứa 0.13% tinh dầu, flavonoid và tanin. Trong tinh dầu chủ yếu là d-limonen và d-penlaldehyd.</t>
  </si>
  <si>
    <t>Rau ngổ chứa 0,13% tinh dầu, flavonoid và tanin.</t>
  </si>
  <si>
    <t>Rau ngổ chứa 0.13% tinh dầu, flavonoid và tanin.</t>
  </si>
  <si>
    <t>Cetirizine có thể tương tác với các loại thuốc nào?</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</si>
  <si>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</si>
  <si>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Cetirizine có thể tương tác với rượu và các thuốc ức chế thần kinh trung ương.</t>
  </si>
  <si>
    <t>Thể bại liệt là gì?</t>
  </si>
  <si>
    <t>Thể bại liệt là một kiểu biểu hiện của bệnh dại.</t>
  </si>
  <si>
    <t>Thể bại liệt là một bệnh lý nghiêm trọng, có thể dẫn đến tử vong nếu không được điều trị kịp thời.</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</si>
  <si>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</si>
  <si>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</si>
  <si>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</si>
  <si>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Các yếu tố gây ra hội chứng đái tháo nhạt trung ương bao gồm chấn thương đầu, phẫu thuật, u, bệnh lý di truyền, bệnh thận mạn tính, bệnh thai kỳ và chung uống nhiều nước.</t>
  </si>
  <si>
    <t>Hai trong số bệnh lý rối loạn đông máu thường gặp gây ra kinh nguyệt kéo dài là gì?</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</si>
  <si>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</si>
  <si>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Bệnh Hemophillia và bệnh Von Willebrand là hai trong số bệnh lý rối loạn đông máu thường gặp gây ra kinh nguyệt kéo dài.</t>
  </si>
  <si>
    <t>Hai trong số bệnh lý rối loạn đông máu thường gặp gây ra kinh nguyệt kéo dài là bệnh Hemophillia và bệnh Von Willebrand.</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</si>
  <si>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</si>
  <si>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</si>
  <si>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</si>
  <si>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Một người khỏe mạnh có thể bị nhiễm liên cầu nhóm B.</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</si>
  <si>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</si>
  <si>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</si>
  <si>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</si>
  <si>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Chúng ta hãm 2 – 3 lần nước để uống, loại tốt có thể hãm 5 – 6 lần nước.</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</si>
  <si>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</si>
  <si>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</si>
  <si>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</si>
  <si>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</si>
  <si>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</si>
  <si>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</si>
  <si>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Các triệu chứng vận động điển hình của bệnh Parkinson là run, chậm vận động, cứng khớp và cân bằng kém (mất ổn định tư thế).</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</si>
  <si>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</si>
  <si>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</si>
  <si>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</si>
  <si>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</si>
  <si>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</si>
  <si>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Tỷ lệ lưu hành của phì đại thất trái trong dân số nói chung dao động từ 15% đến 20%.</t>
  </si>
  <si>
    <t>Tỷ lệ lưu hành của phì đại thất trái trong dân số nói chung dao động từ 36% đến 41%.</t>
  </si>
  <si>
    <t>Trong trường hợp máu mất rỉ ra và không được phát hiện, người bệnh sẽ có những dấu hiệu gì?</t>
  </si>
  <si>
    <t>Nếu máu mất rỉ ra mà không được phát hiện, người bệnh sẽ có những dấu hiệu của thiếu máu mạn như xanh xao, mệt mỏi, giảm trí nhớ, giảm vận động,…</t>
  </si>
  <si>
    <t>Xanh xao, mệt mỏi, giảm trí nhớ, giảm vận động.</t>
  </si>
  <si>
    <t>Tác dụng của thuốc cisapride trên trẻ em như thế nào?</t>
  </si>
  <si>
    <t>Thuốc cisaprid bài tiết qua sữa mẹ. Nên thận trọng khi dùng thuốc cho phụ nữ trong thời kỳ cho con bú. Tác dụng trên trẻ em chưa được rõ.</t>
  </si>
  <si>
    <t>Tác dụng trên trẻ em chưa được rõ.</t>
  </si>
  <si>
    <t>Tác dụng của thuốc cisapride trên trẻ em chưa được rõ.</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</si>
  <si>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</si>
  <si>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</si>
  <si>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</si>
  <si>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</si>
  <si>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</si>
  <si>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</si>
  <si>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</si>
  <si>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Phương pháp được sử dụng để chiết xuất tinh dầu hoa cam là chưng cất tinh dầu bằng hơi nước (steam distillation) hoặc chưng cất hydro (hydrodistillation).</t>
  </si>
  <si>
    <t>Thành phần của bài thuốc trị đau bao tử do lạnh dùng Xuyên tiêu gồm những gì?</t>
  </si>
  <si>
    <t>Xuyên tiêu 4g, Phụ tử 10g (sắc trước), Khương bán hạ 10g. Tán bột mịn làm hoàn, mỗi lần uống 6g, ngày 2 lần.</t>
  </si>
  <si>
    <t>Bài thuốc này bao gồm Xuyên tiêu 4g, Phụ tử 10g, Khương bán hạ 10g.</t>
  </si>
  <si>
    <t>Thành phần của bài thuốc trị đau bao tử do lạnh dùng Xuyên tiêu gồm Xuyên tiêu 4g, Phụ tử 10g (sắc trước), Khương bán hạ 10g.</t>
  </si>
  <si>
    <t>Thành phần chính có trong thuốc Alpha-Kiisin là gì?</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</si>
  <si>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</si>
  <si>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Thành phần chính có trong thuốc Alpha-Kiisin là Chymotrypsine (hay Alpha-chymotrypsine).</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</si>
  <si>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</si>
  <si>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</si>
  <si>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</si>
  <si>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PlanAndSolvePlus_EN_Answer</t>
  </si>
  <si>
    <t>PlanAndSolvePlus_EN_Thinking_Content</t>
  </si>
  <si>
    <t>PlanAndSolvePlus_EN_ROUGE-L</t>
  </si>
  <si>
    <t>PlanAndSolvePlus_EN_BLEU</t>
  </si>
  <si>
    <t>PlanAndSolvePlus_EN_METEOR</t>
  </si>
  <si>
    <t>PlanAndSolvePlus_EN_BERTScore-F1</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</si>
  <si>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</si>
  <si>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 &lt;think&gt; block:
Okay, let's see. The user is asking what the "tính vị" (which I think translates to "taste") in the context is used for treating certain diseases. The provided context mentions the taste and its properties, and then lists the functions and main uses. 
First, I need to look through the Context for any mention of diseases or conditions. The context says "Tính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 
So, the "tính vị" here refers to the taste, and the functions listed are the medicinal uses. The question is asking what the "tính vị" is used for treating. The answer should be the list of diseases mentioned in the context. 
Looking at the list: Nhức đầu, hoa mắt, phong thấp, đau mỏi cơ thể, kinh nguyệt không đều, cảm mạo. So the answer is those symptoms. The user probably wants a list in Vietnamese. I need to make sure I don't miss any other points. The context doesn't mention any other diseases, so the answer is the symptoms listed.
### Generated thinking content:</t>
  </si>
  <si>
    <t>Thuốc Acetylcystein 200 mg được dùng để làm loãng đờm trong các bệnh phế quản (như viêm phế quản, viêm phổi cấp và mãn tính) và làm thông đường hô hấp trong viêm khí quản, viêm phổi.</t>
  </si>
  <si>
    <t>### &lt;think&gt; block:
Okay, let's see. The user is asking what the Acetylcystein 200 mg drug is used for in conditions like pharyngitis and bronchitis. The context provided mentions that this drug is used for both pharyngitis and bronchitis. The first sentence in the context says it's used to make the mucus loosen in conditions such as pharyngitis and bronchitis. Then it lists the uses: making the airway clear in pharyngitis and bronchitis, and using it as a drug to help with the fever in the case of Paracetamol.
So the answer should be that the drug is used for treating pharyngitis and bronchitis. The key points from the context are that it's used to loosen mucus and to clear the airway. The answer needs to be in Vietnamese, so I'll make sure to translate that correctly.
### Generated thinking content:</t>
  </si>
  <si>
    <t>Cetirizine có thể tương tác với các loại thuốc ức chế thần kinh trung ương, rượu, và các thuốc gây nguy hiểm khác. Cần thận trọng khi sử dụng và tránh dùng đồng thời với rượu và các thuốc này.</t>
  </si>
  <si>
    <t>### &lt;think&gt; block:
Okay, let's see. The user is asking about what medications can interact with cetirizine. The context provided mentions that cetirizine can cause sleep apnea, so they need to be cautious when driving or operating machinery. Also, it's important to avoid taking cetirizine with alcohol and other central-acting antipsychotics because that might increase the effects of these drugs.
So, the answer should list the specific interactions mentioned in the context. The key points are: alcohol, central-acting antipsychotics. Need to make sure the answer is in Vietnamese and follows the steps provided.
### Generated thinking content:</t>
  </si>
  <si>
    <t>### &lt;think&gt; block:
Okay, let's tackle this question. The user is asking about "Thể bại liệt" (paraplegia) based on the provided context. 
First, I need to check the Context. The context mentions that the patient is losing the ability to move, and there are symptoms like constipation and difficulty in urination. It also states that the patient has a condition that leads to death, even though it's slower. The question is asking for the definition of paraplegia.
Looking at the context, the key points are the patient's condition, the symptoms mentioned, and the cause. The answer should be based on these points. Since the context doesn't provide a direct definition, I need to infer it from the symptoms and the cause mentioned. The answer should explain that paraplegia is a condition where the person loses the ability to move, leading to symptoms like constipation and difficulty in urination, and that the patient's condition caused death. 
I need to make sure I'm not missing any other details. The context mentions the patient's condition, so the answer should tie those points together. The final answer should be concise and in Vietnamese.
### Generated thinking content:</t>
  </si>
  <si>
    <t>Hội chứng đái tháo nhạt trung ương có thể gây ra bởi các yếu tố sau:  
1. Chấn thương đầu, phẫu thuật, hoặc u.  
2. Các rối loạn tại ống thận, dẫn đến mất sự điều hòa nội tiết hormone ADH.  
3. Bệnh lý di truyền hoặc bệnh thận mạn tính.  
4. Bệnh thai kỳ, gây phá hủy ADH trong máu.  
5. Các nguyên nhân khác như chấn thương tâm thần, bệnh tự miễn, hoặc rối loạn nội tiết.</t>
  </si>
  <si>
    <t>### &lt;think&gt; block:
Okay, let's tackle this question. The user is asking what factors cause the condition of diabetes mellitus. The provided context has several points to consider.
First, looking at the context, there are several mentions of diabetes mellitus. The first part says that diabetes mellitus is a condition where the central nervous system is affected. The central nervous system can be affected by trauma, surgery, or tumors. The symptoms include issues with the adrenal glands, which can lead to problems with hormone ADH. So the key factors here are trauma, surgery, tumors, and the central nervous system.
Then there's another part about diabetes mellitus due to the kidneys. The cause is issues with the kidneys, which can lead to problems with hormone regulation. The cause could be a disease in the kidneys, like a chronic disease, or maybe a genetic condition. Some medications can also contribute to this.
Another point is diabetes in pregnancy, where the mother's body is affected, leading to issues with ADH. Then there's a mention of diabetes in the first trimester, which is rare. The context also includes a condition called "diabetes mellitus" in the first trimester, which is rare. 
So putting this all together, the factors are trauma, surgery, tumors, central nervous system issues, kidney problems, and possibly genetic or other underlying causes. The answer should list these factors in a clear way.
### Generated thinking content:</t>
  </si>
  <si>
    <t>Hai trong số bệnh lý rối loạn đông máu thường gặp gây ra kinh nguyệt kéo dài là bệnh Hemophilia và bệnh Von Willebrand.</t>
  </si>
  <si>
    <t>### &lt;think&gt; block:
Okay, let's see. The user is asking which of the two common blood clotting disorders that cause prolonged menstruation are the answer. The context provided mentions that Hemophilia and Von Willebrand are the two most common. The question is straightforward: list the two.
First, I need to check the Context again. It states that Hemophilia and Von Willebrand are the two most common. So the answer should be those two. I should make sure there's no other information in the context that might affect this. The context doesn't mention any other symptoms besides prolonged periods. So the answer is clear.
### Generated thinking content:</t>
  </si>
  <si>
    <t>### &lt;think&gt; block:
Okay, let's tackle this question. The user is asking which of the following can a healthy person be infected with group B strep. The provided context mentions that group B strep can appear in healthy individuals. The context also states that the bacteria can appear and then disappear, or be present in the body in a regular way. It also notes that it doesn't spread through sexual contact, food, or water. For infants, it's transmitted from the mother. 
So, the key points here are that group B strep can be present in healthy individuals, and the answer should be based on that. The question is asking which option is correct, so the answer should be that a healthy person can be infected with group B strep. The context supports this by stating that it can appear in healthy individuals. Therefore, the answer is that a healthy person can be infected with group B strep.
### Generated thinking content:</t>
  </si>
  <si>
    <t>Chúng ta hãm nước nhục quế bằng cách: gọt quế mài ra, hòa cùng nước để uống. Pha như pha trà: gọt quết thành từng miếng nhỏ, bỏ vào ấm cho nước nóng vào rồi rót đổ bỏ ngay. Có thể hãm 2 – 3 lần nước để uống, loại tốt có thể hãm 5 – 6 lần nước. Rượu quế: nhục quế 6g vừa đủ, giã nát, ngâm rượu trong 3 ngày, uống ấm.</t>
  </si>
  <si>
    <t>### &lt;think&gt; block:
Okay, let's see. The user is asking how we drink the rice wine. The context provided is a Vietnamese recipe for making rice wine. The steps are: take a piece of rice, mix with water to make tea. Then, chop the rice into small pieces, add to a hot cup, pour again, let it cool down. The user can drink it 2-3 times, and the rice wine is made by adding 6g of rice wine. The rice is soaked for 3 days before drinking. 
So the question is asking about the method of drinking the rice wine. The answer should mention the steps: mix rice with water, chop, add to hot tea, repeat, and drink. Also, the amount used is 6g of rice wine. The answer needs to be in Vietnamese, so I'll make sure to translate the steps accurately.
### Generated thinking content:</t>
  </si>
  <si>
    <t>Azithromycin được sử dụng 1 lần/ngày. Người lớn nên dùng liều 1 gam, trong đó liều đầu tiên là 500 mg và liều tiếp theo là 250 mg mỗi ngày. Người cao tuổi cũng nên dùng liều tương tự, nhưng cần điều chỉnh dựa trên tình trạng bệnh và cơ địa của từng người. Liều dùng trên đây chỉ mang tính chất tham khảo.</t>
  </si>
  <si>
    <t>### &lt;think&gt; block:
Okay, let's see. The user is asking how to use Azithromycin. The Context provided has several points. First, Azithromycin is prescribed once a day. Then, for adults, the dose is 1 gram once. The elderly also take the same dose. The first day is 500 mg, then 250 mg for four days. The elderly's dose is the same as adults, but it's a general guideline. So, the answer should mention the daily dose, the specific dosage for adults and elderly, and the fact that it's a once-dose treatment. Need to make sure to mention the key points from the Context.
### Generated thinking content:</t>
  </si>
  <si>
    <t>Các triệu chứng điển hình của bệnh Parkinson là:  
1. **Đau run** (run).  
2. **Chậm vận động**.  
3. **Cứng cơ**.  
4. **Mất ổn định tư thế**.</t>
  </si>
  <si>
    <t>### &lt;think&gt; block:
Okay, let's tackle this question. The user is asking for the common symptoms of Parkinson's disease in terms of movement. The context provided is a detailed explanation of the symptoms, including run, slow movement, rigidity, and balance issues. 
First, I need to check the key points from the context. The first paragraph mentions that these are the main symptoms, and the first thing to note is "Run" as an example. The context also states that "Run" is a typical symptom, like when you rest. Then it talks about "Slow movement" and "Rigidity" as other symptoms. 
I should list these symptoms in a clear list. The answer should be in Vietnamese, so I need to make sure the terms are correctly translated. The user probably wants a list of the main symptoms, so I'll structure the answer accordingly.
### Generated thinking content:</t>
  </si>
  <si>
    <t>Bisoloc được sử dụng để điều trị suy tim mạn ổn định, từ vừa đến nặng, kèm giảm chức năng tâm thu thất trái.</t>
  </si>
  <si>
    <t>### &lt;think&gt; block:
Okay, let's see. The user is asking in Vietnamese, and the question is "Trong trường hợp nào thì Bisoloc được sử dụng để điều trị suy tim?" So they want to know in which cases Bisoloc is used for treating heart disease.
Looking at the provided context, the first thing I notice is that Bisoloc is prescribed in some cases. The context says: "Bisoloc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So the answer should be the three cases mentioned: increased blood pressure, chest pain, and stable heart failure. The key points here are that Bisoloc is used for these conditions. The answer should list those three points in Vietnamese. I need to make sure I'm not missing any other information, but the context clearly states those three cases. So the final answer should be the three points listed.
### Generated thinking content:</t>
  </si>
  <si>
    <t>Tỷ lệ lưu hành của phì đại thất trái trong dân số nói chung là khoảng 15-20%.</t>
  </si>
  <si>
    <t>### &lt;think&gt; block:
Okay, let's tackle this question. The user is asking for the percentage of heart failure in the general population. The provided context mentions that it's present in 15% to 20% of the population. Then it gives some statistics: 19% to 48% in people with hypertension, and 58% to 77% in those with high risk. Also, it states that obesity increases the risk by a factor of two. The answer should be in Vietnamese, so I need to make sure I use the right numbers and terms.
First, I need to check the numbers given. The initial statement says 15-20% is the general percentage. Then later, it mentions 19-48% for hypertension and 58-77% for high risk. The question is asking for the general population, so the answer should be the 15-20% range. The numbers in the context are given as 15-20%, so I can directly state that. There's no need to go into the other statistics unless the question is asking for a specific range. The answer should be in Vietnamese, so I'll format it accordingly.
### Generated thinking content:</t>
  </si>
  <si>
    <t>Trong trường hợp máu mất rỉ ra và không được phát hiện, người bệnh có thể gặp các dấu hiệu như đau đầu, chóng mặt, ù tai, khó thở, mệt mỏi, giảm trí nhớ, và giảm vận động.</t>
  </si>
  <si>
    <t>### &lt;think&gt; block:
Okay, let's see. The user is asking what symptoms a patient would experience if their blood is lost and not detected. The context provided mentions that in such cases, symptoms include headache, dizziness, and difficulty breathing. It also states that if the bleeding isn't detected, the patient might show signs like lethargy, fatigue, and reduced memory. 
So, the answer should list those symptoms. I need to make sure I don't miss any key points from the context. The first part of the context talks about symptoms when blood loss is sudden, and the second part about not detecting the bleeding leading to other symptoms. 
I should check if there's any other information in the context that might affect the answer. The context doesn't mention anything else, so the answer should be based solely on what's provided. 
Putting it all together, the answer should list the symptoms as specified in the context.
### Generated thinking content:</t>
  </si>
  <si>
    <t>Cisapride tác dụng trên trẻ em chưa được rõ. Thuốc được bài tiết qua sữa mẹ, nên cần thận trọng khi dùng cho phụ nữ trong thời kỳ cho con bú. Tác dụng cụ thể của thuốc vẫn chưa được rõ ràng.</t>
  </si>
  <si>
    <t>### &lt;think&gt; block:
Okay, let's see. The user is asking about the effects of cisapride on children. The context provided mentions that the drug is secreted through breast milk, and it's important to be cautious when using it during breastfeeding. Also, the child's development is not clear.
So, the key points here are that the drug is given to breastfed mothers, and the child's development isn't clear. The question is about the effects on the child. The answer should mention that the drug is secreted through the mother's milk, so it's given to the child, and that the effects on the child's development aren't clear. I need to make sure I'm not missing any other details. The context doesn't mention any specific effects like side effects or symptoms, just the information given. So the answer should be concise, stating that the drug is given to the child and that the effects aren't clear.
### Generated thinking content:</t>
  </si>
  <si>
    <t>Giải áp vi mạch là phương pháp áp dụng để giải áp lực lên dây thần kinh sinh ba. Phương pháp này mang lại hiệu quả giảm đau hoàn toàn cho hơn 2/3 bệnh nhân, với ưu điểm là tỉ lệ thành công lâu dài cao (~50% bệnh nhân giảm đau hoàn toàn sau 3 năm thực hiện).</t>
  </si>
  <si>
    <t>### &lt;think&gt; block:
Okay, let's tackle this question. The user is asking, "Giải áp vi mạch là phương pháp như thế nào?" which translates to "What is the application of the pressure release method?" So, I need to answer based on the provided context.
First, I'll look through the Context. The Context mentions several methods: Radiofrequency (RF) heating, Gamma radiation, and the "solution" method. The "solution" method is described as a way to release pressure. Let me check the relevant parts again.
In the Context, there's a line: "Giải áp vi mạch Phương pháp này mang lại hiệu quả giảm đau hoàn toàn cho hơn 2/3 bệnh nhân. Ưu điểm: ... các phương pháp khác nhau, có tỉ lệ thành công lâu dài cao nhất (~50% bệnh nhân giảm đau hoàn toàn sau 3 năm thực hiện phương pháp này." Then later, there's a mention: "Giải áp vi mạch Phương pháp này đòi hỏi một thủ thuật mở hộp sọ dưới chẩm. Phù hợp với những người có sức khỏe tốt..." So, the "solution" method is the pressure release method. The answer should state that it's the pressure release method, and the context confirms that.
### Generated thinking content:</t>
  </si>
  <si>
    <t>Phương pháp được sử dụng để chiết xuất tinh dầu hoa cam là phương pháp chưng cất tinh dầu bằng hơi nước (steam distillation) hoặc chưng cất hydro (hydrodistillation).</t>
  </si>
  <si>
    <t>### &lt;think&gt; block:
Okay, let's see. The user is asking which method is used to extract the camille oil. The context provided mentions that the oil is extracted using steam distillation or hydrodistillation. Also, they mention that the method is done by heating with steam or using water. The answer should be in Vietnamese, so I need to make sure I use the correct terms.
Looking at the context again, the key points are: the oil is obtained through steam distillation or hydrodistillation. The steps include using steam or water. So the answer should be "phương pháp steam distillation hoặc hydrodistillation". I need to check if there's any other information that might affect this, but the context clearly states those two methods. No other details are needed here. So the final answer is in Vietnamese.
### Generated thinking content:</t>
  </si>
  <si>
    <t>Bài thuốc trị đau bao tử do lạnh dùng Xuyên tiêu gồm: Xuyên tiêu 4g, Phụ tử 10g, Khương bán hạ 10g.</t>
  </si>
  <si>
    <t>### &lt;think&gt; block:
Okay, let's see. The user is asking about the composition of the pain-relieving medicine that uses Xuyên tiêu. The context provided is a recipe: Xuyên tiêu 4g, Phụ tử 10g, Khương bán hạ 10g, mixed into a powder, each dose 6g, taken twice a day. 
First, I need to parse this. The key components here are the three herbs: Xuyên tiêu, Phụ tử, and Khương bán hạ. The quantities are 4g, 10g, and 10g respectively. The mixture is made by dissolving them, so the answer should list these three herbs along with their respective dosages. The question is straightforward, so the answer should just list them in the order given. I should check if there's any other information that might affect the answer, but the context doesn't mention any other ingredients. So the final answer should be the three herbs with their quantities.
### Generated thinking content:</t>
  </si>
  <si>
    <t>Thành phần chính trong thuốc Alpha-Kiisin là Chymotrypsine.</t>
  </si>
  <si>
    <t>### &lt;think&gt; block:
Okay, let's see. The user is asking about the main components of Alpha-Kiisin. I need to check the provided context. The Context says that Alpha-Kiisin is produced by Pymepharco, and its main component is Chymotrypsine. It's a pill containing 10 tablets, each with 10 tablets. So the answer should directly state that the main component is Chymotrypsine. I need to make sure I don't miss any other info, like the dosage or form, but the question only asks for the main components, so that's all.
### Generated thinking content:</t>
  </si>
  <si>
    <t>Số một số loại thuốc có thể gây suy yếu sự bài tiết của bilirubin liên hợp là steroid được alkyl hóa và chlorpromazine.</t>
  </si>
  <si>
    <t>### &lt;think&gt; block:
Okay, let's see. The user is asking for the names of some drugs that can cause the decrease in bilirubin conjugation. I need to check the provided context to find that information.
Looking at the context, it mentions that bilirubin conjugation is increased by transporting through the membrane, and that increased fluid flow or using phenobarbital increases bilirubin excretion. Then it says that in some conditions like hepatitis due to alcohol or virus, the conjugation is weakened. Also, it mentions that bilirubin can be caused by drugs like steroids or chlorpromazine.
So the answer should list these drugs: steroids and chlorpromazine. I need to make sure the names are correct and in Vietnamese. Let me check again. Yes, the context says "có thể được gây ra bởi nhiều loại thuốc (ví dụ, steroid được alkyl hóa, chlorpromazine)." So the answer is steroids and chlorpromazine.
### Generated thinking content:</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</si>
  <si>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</si>
  <si>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</si>
  <si>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r>
      <rPr>
        <b/>
        <sz val="11"/>
        <color theme="1"/>
        <rFont val="Arial"/>
        <family val="2"/>
        <scheme val="minor"/>
      </rPr>
      <t>Tính vị</t>
    </r>
    <r>
      <rPr>
        <sz val="11"/>
        <color theme="1"/>
        <rFont val="Arial"/>
        <family val="2"/>
        <scheme val="minor"/>
      </rPr>
      <t xml:space="preserve"> được dùng để điều trị các bệnh như nhức đầu, hoa mắt, phong thấp, đau mỏi cơ thể, kinh nguyệt không đều, cảm mạo.</t>
    </r>
  </si>
  <si>
    <r>
      <t xml:space="preserve">Rau ngổ chứa các thành phần hóa học như: 0.13% tinh dầu, flavonoid, và tanin, </t>
    </r>
    <r>
      <rPr>
        <sz val="11"/>
        <color rgb="FFFF0000"/>
        <rFont val="Arial"/>
        <family val="2"/>
        <scheme val="minor"/>
      </rPr>
      <t>trong đó chủ yếu là d-limonen và d-penlaldehyd.</t>
    </r>
  </si>
  <si>
    <r>
      <t xml:space="preserve">### &lt;think&gt; block:
Okay, let's see. The user is asking what chemical components are present in the plant, specifically Rau ngổ. The Context provided mentions that Rau ngổ contains 0.13% tinh dầu, flavonoid, and tanin. </t>
    </r>
    <r>
      <rPr>
        <sz val="11"/>
        <color rgb="FFFF0000"/>
        <rFont val="Arial"/>
        <family val="2"/>
        <scheme val="minor"/>
      </rPr>
      <t xml:space="preserve">The main components are d-limonene and d-penlaldehyd. </t>
    </r>
    <r>
      <rPr>
        <sz val="11"/>
        <color theme="1"/>
        <rFont val="Arial"/>
        <family val="2"/>
        <scheme val="minor"/>
      </rPr>
      <t xml:space="preserve">
So, the answer should list these components. I need to make sure I don't miss any key points. The percentages and the specific compounds are important here. The question is straightforward, so just need to extract the information from the Context. Let me check again to confirm. Yes, the answer should include the percentages and the specific compounds mentioned.
### Generated thinking content:</t>
    </r>
  </si>
  <si>
    <r>
      <t xml:space="preserve">Thể bại liệt là một bệnh lý xảy ra khi cơ thể bị tổn thương, khiến người bệnh không thể vận động các cơ quan như cơ hô hấp, cơ mặt, cơ chân, và dẫn đến các triệu chứng như liệt toàn thân, khó tiểu, đại tiểu tiện, và tử vong. </t>
    </r>
    <r>
      <rPr>
        <sz val="11"/>
        <color rgb="FFFF0000"/>
        <rFont val="Arial"/>
        <family val="2"/>
        <scheme val="minor"/>
      </rPr>
      <t>Điều này có thể xảy ra do một số nguyên nhân cụ thể, tùy từng trường hợp mà bệnh có thể gây ra.</t>
    </r>
  </si>
  <si>
    <r>
      <t xml:space="preserve">Một người khỏe mạnh có thể bị nhiễm </t>
    </r>
    <r>
      <rPr>
        <sz val="11"/>
        <color rgb="FFFF0000"/>
        <rFont val="Arial"/>
        <family val="2"/>
        <scheme val="minor"/>
      </rPr>
      <t>vi khuẩn</t>
    </r>
    <r>
      <rPr>
        <sz val="11"/>
        <color theme="1"/>
        <rFont val="Arial"/>
        <family val="2"/>
        <scheme val="minor"/>
      </rPr>
      <t xml:space="preserve"> nhóm 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</si>
</sst>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D16AD-FE11-4483-B0E4-F12F690F54BE}">
  <dimension ref="A1:S21"/>
  <sheetViews>
    <sheetView tabSelected="1" topLeftCell="A3" zoomScale="150" zoomScaleNormal="150" workbookViewId="0">
      <selection activeCell="H3" sqref="H3"/>
    </sheetView>
  </sheetViews>
  <sheetFormatPr defaultRowHeight="14" x14ac:dyDescent="0.3"/>
  <cols>
    <col min="3" max="3" width="0" hidden="1" customWidth="1"/>
    <col min="7" max="7" width="26.25" style="1" customWidth="1"/>
    <col min="8" max="12" width="5.33203125" customWidth="1"/>
    <col min="13" max="13" width="27.25" style="1" customWidth="1"/>
    <col min="14" max="14" width="39.58203125" customWidth="1"/>
    <col min="15" max="18" width="5.4140625" customWidth="1"/>
  </cols>
  <sheetData>
    <row r="1" spans="1:19" x14ac:dyDescent="0.3">
      <c r="A1" t="s">
        <v>0</v>
      </c>
      <c r="B1" t="s">
        <v>1</v>
      </c>
      <c r="C1" t="s">
        <v>2</v>
      </c>
      <c r="D1" t="s">
        <v>3</v>
      </c>
      <c r="E1" t="s">
        <v>4</v>
      </c>
      <c r="F1" t="s">
        <v>5</v>
      </c>
      <c r="G1" s="1" t="s">
        <v>6</v>
      </c>
      <c r="H1" t="s">
        <v>7</v>
      </c>
      <c r="I1" t="s">
        <v>8</v>
      </c>
      <c r="J1" t="s">
        <v>9</v>
      </c>
      <c r="K1" t="s">
        <v>10</v>
      </c>
      <c r="M1" s="1" t="s">
        <v>86</v>
      </c>
      <c r="N1" t="s">
        <v>87</v>
      </c>
      <c r="O1" t="s">
        <v>88</v>
      </c>
      <c r="P1" t="s">
        <v>89</v>
      </c>
      <c r="Q1" t="s">
        <v>90</v>
      </c>
      <c r="R1" t="s">
        <v>91</v>
      </c>
    </row>
    <row r="2" spans="1:19" ht="409.5" x14ac:dyDescent="0.3">
      <c r="A2">
        <v>0</v>
      </c>
      <c r="B2" t="s">
        <v>11</v>
      </c>
      <c r="C2" t="s">
        <v>12</v>
      </c>
      <c r="D2" t="s">
        <v>13</v>
      </c>
      <c r="E2" t="s">
        <v>14</v>
      </c>
      <c r="F2" t="s">
        <v>15</v>
      </c>
      <c r="G2" s="1" t="s">
        <v>16</v>
      </c>
      <c r="H2">
        <v>0.92959999999999998</v>
      </c>
      <c r="I2">
        <v>0.85470000000000002</v>
      </c>
      <c r="J2">
        <v>0.99</v>
      </c>
      <c r="K2">
        <v>0.97150000000000003</v>
      </c>
      <c r="L2">
        <f>AVERAGE(H2:K2)</f>
        <v>0.93645</v>
      </c>
      <c r="M2" s="1" t="s">
        <v>130</v>
      </c>
      <c r="N2" s="1" t="s">
        <v>93</v>
      </c>
      <c r="O2">
        <v>0.84509999999999996</v>
      </c>
      <c r="P2">
        <v>0.751</v>
      </c>
      <c r="Q2">
        <v>0.81859999999999999</v>
      </c>
      <c r="R2">
        <v>0.93279999999999996</v>
      </c>
      <c r="S2">
        <f>AVERAGE(O2:R2)</f>
        <v>0.83687499999999992</v>
      </c>
    </row>
    <row r="3" spans="1:19" ht="409.5" x14ac:dyDescent="0.3">
      <c r="A3">
        <v>1</v>
      </c>
      <c r="B3" t="s">
        <v>11</v>
      </c>
      <c r="C3" t="s">
        <v>12</v>
      </c>
      <c r="D3" t="s">
        <v>17</v>
      </c>
      <c r="E3" s="1" t="s">
        <v>18</v>
      </c>
      <c r="F3" t="s">
        <v>19</v>
      </c>
      <c r="G3" s="1" t="s">
        <v>20</v>
      </c>
      <c r="H3">
        <v>0.4889</v>
      </c>
      <c r="I3">
        <v>0.19550000000000001</v>
      </c>
      <c r="J3">
        <v>0.44</v>
      </c>
      <c r="K3">
        <v>0.84309999999999996</v>
      </c>
      <c r="L3">
        <f t="shared" ref="L3:L21" si="0">AVERAGE(H3:K3)</f>
        <v>0.49187500000000001</v>
      </c>
      <c r="M3" s="1" t="s">
        <v>94</v>
      </c>
      <c r="N3" s="1" t="s">
        <v>95</v>
      </c>
      <c r="O3">
        <v>0.60980000000000001</v>
      </c>
      <c r="P3">
        <v>0.36890000000000001</v>
      </c>
      <c r="Q3">
        <v>0.89029999999999998</v>
      </c>
      <c r="R3">
        <v>0.90129999999999999</v>
      </c>
      <c r="S3" s="2">
        <f t="shared" ref="S3:S21" si="1">AVERAGE(O3:R3)</f>
        <v>0.69257499999999994</v>
      </c>
    </row>
    <row r="4" spans="1:19" ht="266" x14ac:dyDescent="0.3">
      <c r="A4">
        <v>2</v>
      </c>
      <c r="B4" t="s">
        <v>11</v>
      </c>
      <c r="C4" t="s">
        <v>12</v>
      </c>
      <c r="D4" t="s">
        <v>21</v>
      </c>
      <c r="E4" t="s">
        <v>22</v>
      </c>
      <c r="F4" t="s">
        <v>23</v>
      </c>
      <c r="G4" s="1" t="s">
        <v>24</v>
      </c>
      <c r="H4">
        <v>1</v>
      </c>
      <c r="I4">
        <v>0.7349</v>
      </c>
      <c r="J4">
        <v>0.91390000000000005</v>
      </c>
      <c r="K4">
        <v>0.99670000000000003</v>
      </c>
      <c r="L4">
        <f t="shared" si="0"/>
        <v>0.91137500000000005</v>
      </c>
      <c r="M4" s="1" t="s">
        <v>131</v>
      </c>
      <c r="N4" s="1" t="s">
        <v>132</v>
      </c>
      <c r="O4">
        <v>0.5333</v>
      </c>
      <c r="P4">
        <v>0.18129999999999999</v>
      </c>
      <c r="Q4">
        <v>0.69950000000000001</v>
      </c>
      <c r="R4">
        <v>0.87329999999999997</v>
      </c>
      <c r="S4">
        <f t="shared" si="1"/>
        <v>0.57184999999999997</v>
      </c>
    </row>
    <row r="5" spans="1:19" ht="409.5" x14ac:dyDescent="0.3">
      <c r="A5">
        <v>3</v>
      </c>
      <c r="B5" t="s">
        <v>11</v>
      </c>
      <c r="C5" t="s">
        <v>12</v>
      </c>
      <c r="D5" t="s">
        <v>25</v>
      </c>
      <c r="E5" s="1" t="s">
        <v>92</v>
      </c>
      <c r="F5" t="s">
        <v>26</v>
      </c>
      <c r="G5" s="1" t="s">
        <v>27</v>
      </c>
      <c r="H5">
        <v>0.51690000000000003</v>
      </c>
      <c r="I5">
        <v>0.17119999999999999</v>
      </c>
      <c r="J5">
        <v>0.38379999999999997</v>
      </c>
      <c r="K5">
        <v>0.87519999999999998</v>
      </c>
      <c r="L5">
        <f t="shared" si="0"/>
        <v>0.48677500000000001</v>
      </c>
      <c r="M5" s="1" t="s">
        <v>96</v>
      </c>
      <c r="N5" s="1" t="s">
        <v>97</v>
      </c>
      <c r="O5">
        <v>0.65649999999999997</v>
      </c>
      <c r="P5">
        <v>0.44240000000000002</v>
      </c>
      <c r="Q5">
        <v>0.64929999999999999</v>
      </c>
      <c r="R5">
        <v>0.85960000000000003</v>
      </c>
      <c r="S5" s="2">
        <f t="shared" si="1"/>
        <v>0.65195000000000003</v>
      </c>
    </row>
    <row r="6" spans="1:19" ht="409.5" x14ac:dyDescent="0.3">
      <c r="A6">
        <v>4</v>
      </c>
      <c r="B6" t="s">
        <v>11</v>
      </c>
      <c r="C6" t="s">
        <v>12</v>
      </c>
      <c r="D6" t="s">
        <v>28</v>
      </c>
      <c r="E6" s="1" t="s">
        <v>128</v>
      </c>
      <c r="F6" t="s">
        <v>29</v>
      </c>
      <c r="G6" s="1" t="s">
        <v>30</v>
      </c>
      <c r="H6">
        <v>0.44440000000000002</v>
      </c>
      <c r="I6">
        <v>0.16020000000000001</v>
      </c>
      <c r="J6">
        <v>0.48080000000000001</v>
      </c>
      <c r="K6">
        <v>0.80010000000000003</v>
      </c>
      <c r="L6">
        <f t="shared" si="0"/>
        <v>0.47137499999999999</v>
      </c>
      <c r="M6" s="1" t="s">
        <v>133</v>
      </c>
      <c r="N6" s="1" t="s">
        <v>98</v>
      </c>
      <c r="O6">
        <v>0.21210000000000001</v>
      </c>
      <c r="P6">
        <v>4.36E-2</v>
      </c>
      <c r="Q6">
        <v>0.18229999999999999</v>
      </c>
      <c r="R6">
        <v>0.74319999999999997</v>
      </c>
      <c r="S6">
        <f t="shared" si="1"/>
        <v>0.29530000000000001</v>
      </c>
    </row>
    <row r="7" spans="1:19" ht="409.5" x14ac:dyDescent="0.3">
      <c r="A7">
        <v>5</v>
      </c>
      <c r="B7" t="s">
        <v>11</v>
      </c>
      <c r="C7" t="s">
        <v>12</v>
      </c>
      <c r="D7" t="s">
        <v>31</v>
      </c>
      <c r="E7" s="1" t="s">
        <v>32</v>
      </c>
      <c r="F7" t="s">
        <v>33</v>
      </c>
      <c r="G7" s="1" t="s">
        <v>34</v>
      </c>
      <c r="H7">
        <v>0.4511</v>
      </c>
      <c r="I7">
        <v>0.19020000000000001</v>
      </c>
      <c r="J7">
        <v>0.33829999999999999</v>
      </c>
      <c r="K7">
        <v>0.80589999999999995</v>
      </c>
      <c r="L7">
        <f t="shared" si="0"/>
        <v>0.44637499999999997</v>
      </c>
      <c r="M7" s="1" t="s">
        <v>99</v>
      </c>
      <c r="N7" s="1" t="s">
        <v>100</v>
      </c>
      <c r="O7">
        <v>0.42159999999999997</v>
      </c>
      <c r="P7">
        <v>0.14430000000000001</v>
      </c>
      <c r="Q7">
        <v>0.4289</v>
      </c>
      <c r="R7">
        <v>0.79920000000000002</v>
      </c>
      <c r="S7" s="3">
        <f t="shared" si="1"/>
        <v>0.44850000000000001</v>
      </c>
    </row>
    <row r="8" spans="1:19" ht="252" x14ac:dyDescent="0.3">
      <c r="A8">
        <v>6</v>
      </c>
      <c r="B8" t="s">
        <v>11</v>
      </c>
      <c r="C8" t="s">
        <v>12</v>
      </c>
      <c r="D8" t="s">
        <v>35</v>
      </c>
      <c r="E8" t="s">
        <v>36</v>
      </c>
      <c r="F8" t="s">
        <v>37</v>
      </c>
      <c r="G8" s="1" t="s">
        <v>38</v>
      </c>
      <c r="H8">
        <v>0.75</v>
      </c>
      <c r="I8">
        <v>0.77839999999999998</v>
      </c>
      <c r="J8">
        <v>0.97670000000000001</v>
      </c>
      <c r="K8">
        <v>0.93340000000000001</v>
      </c>
      <c r="L8">
        <f t="shared" si="0"/>
        <v>0.85962500000000008</v>
      </c>
      <c r="M8" s="1" t="s">
        <v>101</v>
      </c>
      <c r="N8" s="1" t="s">
        <v>102</v>
      </c>
      <c r="O8">
        <v>0.75</v>
      </c>
      <c r="P8">
        <v>0.73519999999999996</v>
      </c>
      <c r="Q8">
        <v>0.93469999999999998</v>
      </c>
      <c r="R8">
        <v>0.92679999999999996</v>
      </c>
      <c r="S8" s="3">
        <f t="shared" si="1"/>
        <v>0.83667499999999995</v>
      </c>
    </row>
    <row r="9" spans="1:19" ht="322" x14ac:dyDescent="0.3">
      <c r="A9">
        <v>7</v>
      </c>
      <c r="B9" t="s">
        <v>11</v>
      </c>
      <c r="C9" t="s">
        <v>12</v>
      </c>
      <c r="D9" t="s">
        <v>39</v>
      </c>
      <c r="E9" t="s">
        <v>40</v>
      </c>
      <c r="F9" t="s">
        <v>41</v>
      </c>
      <c r="G9" s="1" t="s">
        <v>42</v>
      </c>
      <c r="H9">
        <v>0.878</v>
      </c>
      <c r="I9">
        <v>0.65259999999999996</v>
      </c>
      <c r="J9">
        <v>0.80889999999999995</v>
      </c>
      <c r="K9">
        <v>0.94699999999999995</v>
      </c>
      <c r="L9">
        <f t="shared" si="0"/>
        <v>0.82162500000000005</v>
      </c>
      <c r="M9" s="1" t="s">
        <v>134</v>
      </c>
      <c r="N9" s="1" t="s">
        <v>103</v>
      </c>
      <c r="O9">
        <v>0.75</v>
      </c>
      <c r="P9">
        <v>0.30640000000000001</v>
      </c>
      <c r="Q9">
        <v>0.66659999999999997</v>
      </c>
      <c r="R9">
        <v>0.91010000000000002</v>
      </c>
      <c r="S9">
        <f t="shared" si="1"/>
        <v>0.65827499999999994</v>
      </c>
    </row>
    <row r="10" spans="1:19" ht="280" x14ac:dyDescent="0.3">
      <c r="A10">
        <v>8</v>
      </c>
      <c r="B10" t="s">
        <v>11</v>
      </c>
      <c r="C10" t="s">
        <v>12</v>
      </c>
      <c r="D10" t="s">
        <v>43</v>
      </c>
      <c r="E10" t="s">
        <v>44</v>
      </c>
      <c r="F10" t="s">
        <v>45</v>
      </c>
      <c r="G10" s="1" t="s">
        <v>46</v>
      </c>
      <c r="H10">
        <v>0.36699999999999999</v>
      </c>
      <c r="I10">
        <v>5.6399999999999999E-2</v>
      </c>
      <c r="J10">
        <v>0.2195</v>
      </c>
      <c r="K10">
        <v>0.77139999999999997</v>
      </c>
      <c r="L10">
        <f t="shared" si="0"/>
        <v>0.35357499999999997</v>
      </c>
      <c r="M10" s="1" t="s">
        <v>104</v>
      </c>
      <c r="N10" s="1" t="s">
        <v>105</v>
      </c>
      <c r="O10">
        <v>0.4607</v>
      </c>
      <c r="P10">
        <v>0.15720000000000001</v>
      </c>
      <c r="Q10">
        <v>0.48420000000000002</v>
      </c>
      <c r="R10">
        <v>0.77529999999999999</v>
      </c>
      <c r="S10">
        <f t="shared" si="1"/>
        <v>0.46935000000000004</v>
      </c>
    </row>
    <row r="11" spans="1:19" ht="409.5" x14ac:dyDescent="0.3">
      <c r="A11">
        <v>9</v>
      </c>
      <c r="B11" t="s">
        <v>11</v>
      </c>
      <c r="C11" t="s">
        <v>12</v>
      </c>
      <c r="D11" t="s">
        <v>47</v>
      </c>
      <c r="E11" s="1" t="s">
        <v>48</v>
      </c>
      <c r="F11" t="s">
        <v>49</v>
      </c>
      <c r="G11" s="1" t="s">
        <v>49</v>
      </c>
      <c r="H11">
        <v>1</v>
      </c>
      <c r="I11">
        <v>1</v>
      </c>
      <c r="J11">
        <v>0.99770000000000003</v>
      </c>
      <c r="K11">
        <v>1</v>
      </c>
      <c r="L11">
        <f t="shared" si="0"/>
        <v>0.99942500000000001</v>
      </c>
      <c r="M11" s="1" t="s">
        <v>106</v>
      </c>
      <c r="N11" s="1" t="s">
        <v>107</v>
      </c>
      <c r="O11">
        <v>0.1429</v>
      </c>
      <c r="P11">
        <v>5.11E-2</v>
      </c>
      <c r="Q11">
        <v>0.2016</v>
      </c>
      <c r="R11">
        <v>0.73580000000000001</v>
      </c>
      <c r="S11">
        <f t="shared" si="1"/>
        <v>0.28284999999999999</v>
      </c>
    </row>
    <row r="12" spans="1:19" ht="350" x14ac:dyDescent="0.3">
      <c r="A12">
        <v>10</v>
      </c>
      <c r="B12" t="s">
        <v>11</v>
      </c>
      <c r="C12" t="s">
        <v>12</v>
      </c>
      <c r="D12" t="s">
        <v>50</v>
      </c>
      <c r="E12" t="s">
        <v>51</v>
      </c>
      <c r="F12" t="s">
        <v>52</v>
      </c>
      <c r="G12" s="1" t="s">
        <v>53</v>
      </c>
      <c r="H12">
        <v>0.89159999999999995</v>
      </c>
      <c r="I12">
        <v>0.57489999999999997</v>
      </c>
      <c r="J12">
        <v>0.80320000000000003</v>
      </c>
      <c r="K12">
        <v>0.94789999999999996</v>
      </c>
      <c r="L12">
        <f t="shared" si="0"/>
        <v>0.8044</v>
      </c>
      <c r="M12" s="1" t="s">
        <v>108</v>
      </c>
      <c r="N12" s="1" t="s">
        <v>109</v>
      </c>
      <c r="O12">
        <v>0.76919999999999999</v>
      </c>
      <c r="P12">
        <v>0.14449999999999999</v>
      </c>
      <c r="Q12">
        <v>0.57499999999999996</v>
      </c>
      <c r="R12">
        <v>0.73019999999999996</v>
      </c>
      <c r="S12">
        <f t="shared" si="1"/>
        <v>0.55472499999999991</v>
      </c>
    </row>
    <row r="13" spans="1:19" ht="409.5" x14ac:dyDescent="0.3">
      <c r="A13">
        <v>11</v>
      </c>
      <c r="B13" t="s">
        <v>11</v>
      </c>
      <c r="C13" t="s">
        <v>12</v>
      </c>
      <c r="D13" t="s">
        <v>54</v>
      </c>
      <c r="E13" s="1" t="s">
        <v>55</v>
      </c>
      <c r="F13" t="s">
        <v>56</v>
      </c>
      <c r="G13" s="1" t="s">
        <v>56</v>
      </c>
      <c r="H13">
        <v>1</v>
      </c>
      <c r="I13">
        <v>1</v>
      </c>
      <c r="J13">
        <v>1</v>
      </c>
      <c r="K13">
        <v>1</v>
      </c>
      <c r="L13">
        <f t="shared" si="0"/>
        <v>1</v>
      </c>
      <c r="M13" s="1" t="s">
        <v>110</v>
      </c>
      <c r="N13" s="1" t="s">
        <v>111</v>
      </c>
      <c r="O13">
        <v>0.72160000000000002</v>
      </c>
      <c r="P13">
        <v>0.4456</v>
      </c>
      <c r="Q13">
        <v>0.56240000000000001</v>
      </c>
      <c r="R13">
        <v>0.90800000000000003</v>
      </c>
      <c r="S13">
        <f t="shared" si="1"/>
        <v>0.65939999999999999</v>
      </c>
    </row>
    <row r="14" spans="1:19" ht="378" x14ac:dyDescent="0.3">
      <c r="A14">
        <v>12</v>
      </c>
      <c r="B14" t="s">
        <v>11</v>
      </c>
      <c r="C14" t="s">
        <v>12</v>
      </c>
      <c r="D14" t="s">
        <v>57</v>
      </c>
      <c r="E14" t="s">
        <v>58</v>
      </c>
      <c r="F14" t="s">
        <v>59</v>
      </c>
      <c r="G14" s="1" t="s">
        <v>60</v>
      </c>
      <c r="H14">
        <v>0.92589999999999995</v>
      </c>
      <c r="I14">
        <v>0.78180000000000005</v>
      </c>
      <c r="J14">
        <v>0.91169999999999995</v>
      </c>
      <c r="K14">
        <v>0.9889</v>
      </c>
      <c r="L14">
        <f t="shared" si="0"/>
        <v>0.90207499999999996</v>
      </c>
      <c r="M14" s="1" t="s">
        <v>112</v>
      </c>
      <c r="N14" s="1" t="s">
        <v>113</v>
      </c>
      <c r="O14">
        <v>0.90569999999999995</v>
      </c>
      <c r="P14">
        <v>0.65459999999999996</v>
      </c>
      <c r="Q14">
        <v>0.70730000000000004</v>
      </c>
      <c r="R14">
        <v>0.95750000000000002</v>
      </c>
      <c r="S14">
        <f t="shared" si="1"/>
        <v>0.80627499999999996</v>
      </c>
    </row>
    <row r="15" spans="1:19" ht="409.5" x14ac:dyDescent="0.3">
      <c r="A15">
        <v>13</v>
      </c>
      <c r="B15" t="s">
        <v>11</v>
      </c>
      <c r="C15" t="s">
        <v>12</v>
      </c>
      <c r="D15" t="s">
        <v>61</v>
      </c>
      <c r="E15" s="1" t="s">
        <v>129</v>
      </c>
      <c r="F15" t="s">
        <v>62</v>
      </c>
      <c r="G15" s="1" t="s">
        <v>63</v>
      </c>
      <c r="H15">
        <v>0.44779999999999998</v>
      </c>
      <c r="I15">
        <v>0.151</v>
      </c>
      <c r="J15">
        <v>0.3367</v>
      </c>
      <c r="K15">
        <v>0.77949999999999997</v>
      </c>
      <c r="L15">
        <f t="shared" si="0"/>
        <v>0.42874999999999996</v>
      </c>
      <c r="M15" s="1" t="s">
        <v>114</v>
      </c>
      <c r="N15" s="1" t="s">
        <v>115</v>
      </c>
      <c r="O15">
        <v>0.67889999999999995</v>
      </c>
      <c r="P15">
        <v>0.36799999999999999</v>
      </c>
      <c r="Q15">
        <v>0.63619999999999999</v>
      </c>
      <c r="R15">
        <v>0.8891</v>
      </c>
      <c r="S15">
        <f t="shared" si="1"/>
        <v>0.64305000000000001</v>
      </c>
    </row>
    <row r="16" spans="1:19" ht="322" x14ac:dyDescent="0.3">
      <c r="A16">
        <v>14</v>
      </c>
      <c r="B16" t="s">
        <v>11</v>
      </c>
      <c r="C16" t="s">
        <v>12</v>
      </c>
      <c r="D16" t="s">
        <v>64</v>
      </c>
      <c r="E16" t="s">
        <v>65</v>
      </c>
      <c r="F16" t="s">
        <v>66</v>
      </c>
      <c r="G16" s="1" t="s">
        <v>67</v>
      </c>
      <c r="H16">
        <v>0.8276</v>
      </c>
      <c r="I16">
        <v>0.57069999999999999</v>
      </c>
      <c r="J16">
        <v>0.96240000000000003</v>
      </c>
      <c r="K16">
        <v>0.87290000000000001</v>
      </c>
      <c r="L16">
        <f t="shared" si="0"/>
        <v>0.80840000000000001</v>
      </c>
      <c r="M16" s="1" t="s">
        <v>116</v>
      </c>
      <c r="N16" s="1" t="s">
        <v>117</v>
      </c>
      <c r="O16">
        <v>0.32</v>
      </c>
      <c r="P16">
        <v>0.1532</v>
      </c>
      <c r="Q16">
        <v>0.67759999999999998</v>
      </c>
      <c r="R16">
        <v>0.78249999999999997</v>
      </c>
      <c r="S16">
        <f t="shared" si="1"/>
        <v>0.483325</v>
      </c>
    </row>
    <row r="17" spans="1:19" ht="409.5" x14ac:dyDescent="0.3">
      <c r="A17">
        <v>15</v>
      </c>
      <c r="B17" t="s">
        <v>11</v>
      </c>
      <c r="C17" t="s">
        <v>12</v>
      </c>
      <c r="D17" t="s">
        <v>68</v>
      </c>
      <c r="E17" s="1" t="s">
        <v>69</v>
      </c>
      <c r="F17" t="s">
        <v>70</v>
      </c>
      <c r="G17" s="1" t="s">
        <v>71</v>
      </c>
      <c r="H17">
        <v>0.43519999999999998</v>
      </c>
      <c r="I17">
        <v>0.1696</v>
      </c>
      <c r="J17">
        <v>0.26179999999999998</v>
      </c>
      <c r="K17">
        <v>0.74719999999999998</v>
      </c>
      <c r="L17">
        <f t="shared" si="0"/>
        <v>0.40344999999999998</v>
      </c>
      <c r="M17" s="1" t="s">
        <v>118</v>
      </c>
      <c r="N17" s="1" t="s">
        <v>119</v>
      </c>
      <c r="O17">
        <v>0.34689999999999999</v>
      </c>
      <c r="P17">
        <v>0.1055</v>
      </c>
      <c r="Q17">
        <v>0.17730000000000001</v>
      </c>
      <c r="R17">
        <v>0.70620000000000005</v>
      </c>
      <c r="S17">
        <f t="shared" si="1"/>
        <v>0.33397500000000002</v>
      </c>
    </row>
    <row r="18" spans="1:19" ht="308" x14ac:dyDescent="0.3">
      <c r="A18">
        <v>16</v>
      </c>
      <c r="B18" t="s">
        <v>11</v>
      </c>
      <c r="C18" t="s">
        <v>12</v>
      </c>
      <c r="D18" t="s">
        <v>72</v>
      </c>
      <c r="E18" t="s">
        <v>73</v>
      </c>
      <c r="F18" t="s">
        <v>74</v>
      </c>
      <c r="G18" s="1" t="s">
        <v>75</v>
      </c>
      <c r="H18">
        <v>0.66669999999999996</v>
      </c>
      <c r="I18">
        <v>0.84589999999999999</v>
      </c>
      <c r="J18">
        <v>0.98819999999999997</v>
      </c>
      <c r="K18">
        <v>0.94340000000000002</v>
      </c>
      <c r="L18">
        <f t="shared" si="0"/>
        <v>0.86104999999999998</v>
      </c>
      <c r="M18" s="1" t="s">
        <v>120</v>
      </c>
      <c r="N18" s="1" t="s">
        <v>121</v>
      </c>
      <c r="O18">
        <v>0.63529999999999998</v>
      </c>
      <c r="P18">
        <v>0.81830000000000003</v>
      </c>
      <c r="Q18">
        <v>0.98470000000000002</v>
      </c>
      <c r="R18">
        <v>0.9456</v>
      </c>
      <c r="S18">
        <f t="shared" si="1"/>
        <v>0.84597499999999992</v>
      </c>
    </row>
    <row r="19" spans="1:19" ht="322" x14ac:dyDescent="0.3">
      <c r="A19">
        <v>17</v>
      </c>
      <c r="B19" t="s">
        <v>11</v>
      </c>
      <c r="C19" t="s">
        <v>12</v>
      </c>
      <c r="D19" t="s">
        <v>76</v>
      </c>
      <c r="E19" t="s">
        <v>77</v>
      </c>
      <c r="F19" t="s">
        <v>78</v>
      </c>
      <c r="G19" s="1" t="s">
        <v>79</v>
      </c>
      <c r="H19">
        <v>0.63639999999999997</v>
      </c>
      <c r="I19">
        <v>0.36520000000000002</v>
      </c>
      <c r="J19">
        <v>0.87060000000000004</v>
      </c>
      <c r="K19">
        <v>0.86519999999999997</v>
      </c>
      <c r="L19">
        <f t="shared" si="0"/>
        <v>0.68435000000000001</v>
      </c>
      <c r="M19" s="1" t="s">
        <v>122</v>
      </c>
      <c r="N19" s="1" t="s">
        <v>123</v>
      </c>
      <c r="O19">
        <v>0.75</v>
      </c>
      <c r="P19">
        <v>0.51019999999999999</v>
      </c>
      <c r="Q19">
        <v>0.89839999999999998</v>
      </c>
      <c r="R19">
        <v>0.89510000000000001</v>
      </c>
      <c r="S19">
        <f t="shared" si="1"/>
        <v>0.76342500000000002</v>
      </c>
    </row>
    <row r="20" spans="1:19" ht="196" x14ac:dyDescent="0.3">
      <c r="A20">
        <v>18</v>
      </c>
      <c r="B20" t="s">
        <v>11</v>
      </c>
      <c r="C20" t="s">
        <v>12</v>
      </c>
      <c r="D20" t="s">
        <v>80</v>
      </c>
      <c r="E20" t="s">
        <v>81</v>
      </c>
      <c r="F20" t="s">
        <v>82</v>
      </c>
      <c r="G20" s="1" t="s">
        <v>82</v>
      </c>
      <c r="H20">
        <v>1</v>
      </c>
      <c r="I20">
        <v>1</v>
      </c>
      <c r="J20">
        <v>0.99980000000000002</v>
      </c>
      <c r="K20">
        <v>1</v>
      </c>
      <c r="L20">
        <f t="shared" si="0"/>
        <v>0.99995000000000001</v>
      </c>
      <c r="M20" s="1" t="s">
        <v>124</v>
      </c>
      <c r="N20" s="1" t="s">
        <v>125</v>
      </c>
      <c r="O20">
        <v>0.86670000000000003</v>
      </c>
      <c r="P20">
        <v>0.35270000000000001</v>
      </c>
      <c r="Q20">
        <v>0.65429999999999999</v>
      </c>
      <c r="R20">
        <v>0.93489999999999995</v>
      </c>
      <c r="S20">
        <f t="shared" si="1"/>
        <v>0.70214999999999994</v>
      </c>
    </row>
    <row r="21" spans="1:19" ht="364" x14ac:dyDescent="0.3">
      <c r="A21">
        <v>19</v>
      </c>
      <c r="B21" t="s">
        <v>11</v>
      </c>
      <c r="C21" t="s">
        <v>12</v>
      </c>
      <c r="D21" t="s">
        <v>83</v>
      </c>
      <c r="E21" t="s">
        <v>84</v>
      </c>
      <c r="F21" t="s">
        <v>85</v>
      </c>
      <c r="G21" s="1" t="s">
        <v>85</v>
      </c>
      <c r="H21">
        <v>1</v>
      </c>
      <c r="I21">
        <v>1</v>
      </c>
      <c r="J21">
        <v>1</v>
      </c>
      <c r="K21">
        <v>1</v>
      </c>
      <c r="L21">
        <f t="shared" si="0"/>
        <v>1</v>
      </c>
      <c r="M21" s="1" t="s">
        <v>126</v>
      </c>
      <c r="N21" s="1" t="s">
        <v>127</v>
      </c>
      <c r="O21">
        <v>0.9143</v>
      </c>
      <c r="P21">
        <v>0.70189999999999997</v>
      </c>
      <c r="Q21">
        <v>0.87890000000000001</v>
      </c>
      <c r="R21">
        <v>0.95940000000000003</v>
      </c>
      <c r="S21">
        <f t="shared" si="1"/>
        <v>0.86362499999999998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results_20S1_each_metric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PHÚC HẢI</cp:lastModifiedBy>
  <dcterms:created xsi:type="dcterms:W3CDTF">2025-10-10T15:20:14Z</dcterms:created>
  <dcterms:modified xsi:type="dcterms:W3CDTF">2025-10-11T15:10:20Z</dcterms:modified>
</cp:coreProperties>
</file>