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30-2025\"/>
    </mc:Choice>
  </mc:AlternateContent>
  <xr:revisionPtr revIDLastSave="0" documentId="13_ncr:1_{5367F9F6-3F9C-4206-B5CC-D7BC0E86E5E6}"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1" l="1"/>
  <c r="S4" i="1"/>
  <c r="S5" i="1"/>
  <c r="S6" i="1"/>
  <c r="S7" i="1"/>
  <c r="S8" i="1"/>
  <c r="S9" i="1"/>
  <c r="S10" i="1"/>
  <c r="S11" i="1"/>
  <c r="S2" i="1"/>
</calcChain>
</file>

<file path=xl/sharedStrings.xml><?xml version="1.0" encoding="utf-8"?>
<sst xmlns="http://schemas.openxmlformats.org/spreadsheetml/2006/main" count="117" uniqueCount="93">
  <si>
    <t>Sample_ID</t>
  </si>
  <si>
    <t>Model</t>
  </si>
  <si>
    <t>System_Prompt</t>
  </si>
  <si>
    <t>Question</t>
  </si>
  <si>
    <t>Original_Context</t>
  </si>
  <si>
    <t>Full_Chunk_Score_Breakdown</t>
  </si>
  <si>
    <t>Retrieved_Context_Chunks</t>
  </si>
  <si>
    <t>Augmented_Context_Used</t>
  </si>
  <si>
    <t>Ground_Truth_Answer</t>
  </si>
  <si>
    <t>Extract_Highlight_EN_Answer</t>
  </si>
  <si>
    <t>Extract_Highlight_EN_Avg-Score</t>
  </si>
  <si>
    <t>Extract_Highlight_EN_ROUGE-L</t>
  </si>
  <si>
    <t>Extract_Highlight_EN_BLEU</t>
  </si>
  <si>
    <t>Extract_Highlight_EN_METEOR</t>
  </si>
  <si>
    <t>Extract_Highlight_EN_BERTScore-F1</t>
  </si>
  <si>
    <t>unsloth/Qwen3-0.6B-unsloth-bnb-4bit</t>
  </si>
  <si>
    <t>Expert_EN</t>
  </si>
  <si>
    <t>Brufen là loại thuốc gì?</t>
  </si>
  <si>
    <t>Thuốc hạ sốt Brufen có thành phần chính là Ibuprofen. Là thuốc chống viêm không steroid (NSAIDs), dẫn chất của acid propionic có tác dụng giảm đau, hạ sốt, chống viêm. Bên cạnh đó thuốc còn có tác dụng ức chế kết tập tiểu cầu có phục hồi. Tác dụng của thuốc Brufen có được là do khả năng ức chế enzyme cần thiết trong quá trình gây viêm, đau và sốt của cơ thể. Giá thuốc Brufen 100 mg/5 ml chai 60 ml: 59.000 VND.</t>
  </si>
  <si>
    <t>1. [Final Score: 0.9846] Tác dụng của thuốc Brufen có được là do khả năng ức chế enzyme cần thiết trong quá trình gây viêm, đau và sốt của cơ thể. Giá thuốc Brufen 100 mg/5 ml chai 60 ml: 59.000 VND.
   - Unnormalized (Vec/BM25/Rerank): 0.8666 / 0.4732 / 0.7627
   - Normalized (Vec/BM25/Rerank):   1.0000 / 0.8975 / 1.0000
2. [Final Score: 0.9639] Thuốc hạ sốt Brufen có thành phần chính là Ibuprofen. Là thuốc chống viêm không steroid (NSAIDs), dẫn chất của acid propionic có tác dụng giảm đau, hạ sốt, chống viêm.
   - Unnormalized (Vec/BM25/Rerank): 0.8565 / 0.5197 / 0.7571
   - Normalized (Vec/BM25/Rerank):   0.9625 / 1.0000 / 0.9554
X3. [Final Score: 0.0000] Bên cạnh đó thuốc còn có tác dụng ức chế kết tập tiểu cầu có phục hồi.
   - Unnormalized (Vec/BM25/Rerank): 0.5955 / 0.0656 / 0.6370
   - Normalized (Vec/BM25/Rerank):   0.0000 / 0.0000 / 0.0000</t>
  </si>
  <si>
    <t>1. Tác dụng của thuốc Brufen có được là do khả năng ức chế enzyme cần thiết trong quá trình gây viêm, đau và sốt của cơ thể. Giá thuốc Brufen 100 mg/5 ml chai 60 ml: 59.000 VND.
2. Thuốc hạ sốt Brufen có thành phần chính là Ibuprofen. Là thuốc chống viêm không steroid (NSAIDs), dẫn chất của acid propionic có tác dụng giảm đau, hạ sốt, chống viêm.</t>
  </si>
  <si>
    <t>&lt;highlight&gt;Thuốc hạ sốt Brufen có thành phần chính là Ibuprofen. Là thuốc chống viêm không steroid (NSAIDs), dẫn chất của acid propionic có tác dụng giảm đau, hạ sốt, chống viêm.&lt;/highlight&gt; Bên cạnh đó thuốc còn có tác dụng ức chế kết tập tiểu cầu có phục hồi. &lt;highlight&gt;Tác dụng của thuốc Brufen có được là do khả năng ức chế enzyme cần thiết trong quá trình gây viêm, đau và sốt của cơ thể. Giá thuốc Brufen 100 mg/5 ml chai 60 ml: 59.000 VND.&lt;/highlight&gt;</t>
  </si>
  <si>
    <t>Brufen là thuốc hạ sốt, thành phần chính là Ibuprofen.</t>
  </si>
  <si>
    <t>Brufen là thuốc hạ sốt, chống viêm không steroid (NSAIDs), có tác dụng giảm đau, hạ sốt, chống viêm.</t>
  </si>
  <si>
    <t>Đau dây thần kinh sinh ba thường gặp ở lứa tuổi nào?</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</si>
  <si>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t>
  </si>
  <si>
    <t>1.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2. 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t>
  </si>
  <si>
    <t>&lt;highlight&gt;Đây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mặt.&lt;/highlight&gt;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&lt;highlight&gt;Tuy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nhược.&lt;/highlight&gt; Hiện nay, có nhiều cách để làm giảm đau, bao gồm các phương pháp điều trị nội khoa ( thuốc uống hoặc tiêm) cho đến phẫu thuật để kiểm soát cơn đau.</t>
  </si>
  <si>
    <t>Đau dây thần kinh sinh ba thường gặp ở những người trên 50 tuổi và tỷ lệ mắc ở phụ nữ cao hơn nam giới.</t>
  </si>
  <si>
    <t>Đau dây thần kinh sinh ba thường gặp ở những người trên 50 tuổi và phổ biến ở phụ nữ hơn là nam giới.</t>
  </si>
  <si>
    <t>Tại sao phải để thuốc Ceritine xa tầm tay trẻ em?</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</si>
  <si>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</si>
  <si>
    <t>1. [Final Score: 1.0000]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
   - Unnormalized (Vec/BM25/Rerank): 0.8083 / 2.3484 / 0.8420
   - Normalized (Vec/BM25/Rerank):   1.0000 / 1.0000 / 1.0000
X2. [Final Score: 0.1325] Trong quá trình sử dụng thuốc, nếu có xảy ra bất cứ tác dụng không mong muốn nào hãy liên hệ ngay với bác sĩ để được tư vấn hướng giải quyết tốt nhất!
   - Unnormalized (Vec/BM25/Rerank): 0.5855 / 0.2534 / 0.7061
   - Normalized (Vec/BM25/Rerank):   0.0813 / 0.0805 / 0.1669
X3. [Final Score: 0.0000] Bảo quản thuốc nơi khô ráo, thoáng mát, nhiệt độ không quá 30oC, tránh ánh sáng trực tiếp.
   - Unnormalized (Vec/BM25/Rerank): 0.5658 / 0.0700 / 0.6788
   - Normalized (Vec/BM25/Rerank):   0.0000 / 0.0000 / 0.0000</t>
  </si>
  <si>
    <t>1.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t>
  </si>
  <si>
    <t>Bảo quản thuốc nơi khô ráo, thoáng mát, nhiệt độ không quá 30oC, tránh ánh sáng trực tiếp. &lt;highlight&gt;Lưu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trị.&lt;/highlight&gt; Trong quá trình sử dụng thuốc, nếu có xảy ra bất cứ tác dụng không mong muốn nào hãy liên hệ ngay với bác sĩ để được tư vấn hướng giải quyết tốt nhất!</t>
  </si>
  <si>
    <t>Để đảm bảo an toàn cho trẻ nhỏ, tránh trường hợp trẻ uống phải thuốc gây tác dụng không mong muốn.</t>
  </si>
  <si>
    <t>Để tránh trẻ em sử dụng thuốc, tránh trường hợp trẻ em tự ý dùng thuốc.</t>
  </si>
  <si>
    <t>Nước mía lau có thể được sử dụng để giảm thâm quầng và sưng mắt như thế nào?</t>
  </si>
  <si>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</si>
  <si>
    <t>1. [Final Score: 1.0000] Thoa nước mía lên da như một loại kem tẩy tế bào chết giúp da mịn màng và rạng rỡ một cách tự nhiên với chi phí thấp. Dùng gạc sạch bôi nước mía lau lên mi trên và mi dưới giúp giảm thâm quầng và sưng mắt.
   - Unnormalized (Vec/BM25/Rerank): 0.8021 / 2.6216 / 0.8475
   - Normalized (Vec/BM25/Rerank):   1.0000 / 1.0000 / 1.0000
X2. [Final Score: 0.0420] Mía có axit alpha hydroxyl mang lại nhiều lợi ích cho da giúp duy trì làn da khỏe đẹp. Ngoài ra giúp ngăn ngừa mụn trứng cá, giảm sưng tấy do mụn, dưỡng ẩm cho da và ngăn ngừa lão hóa.
   - Unnormalized (Vec/BM25/Rerank): 0.6805 / 0.8877 / 0.7778
   - Normalized (Vec/BM25/Rerank):   0.0000 / 0.0477 / 0.0580
X3. [Final Score: 0.0345] Để ngăn ngừa nếp nhăn, trộn hai thìa cà phê nước mía với bột nghệ và thoa hỗn hợp này lên da vài lần trong một tháng hoặc 10 phút một lần rồi rửa lại bằng nước sạch.
   - Unnormalized (Vec/BM25/Rerank): 0.6973 / 0.8010 / 0.7735
   - Normalized (Vec/BM25/Rerank):   0.1379 / 0.0000 / 0.0000</t>
  </si>
  <si>
    <t>1. Thoa nước mía lên da như một loại kem tẩy tế bào chết giúp da mịn màng và rạng rỡ một cách tự nhiên với chi phí thấp. Dùng gạc sạch bôi nước mía lau lên mi trên và mi dưới giúp giảm thâm quầng và sưng mắt.</t>
  </si>
  <si>
    <t>Mía có axit alpha hydroxyl mang lại nhiều lợi ích cho da giúp duy trì làn da khỏe đẹp. Ngoài ra giúp ngăn ngừa mụn trứng cá, giảm sưng tấy do mụn, dưỡng ẩm cho da và ngăn ngừa lão hóa. &lt;highlight&gt;Thoa nước mía lên da như một loại kem tẩy tế bào chết giúp da mịn màng và rạng rỡ một cách tự nhiên với chi phí thấp. Dùng gạc sạch bôi nước mía lau lên mi trên và mi dưới giúp giảm thâm quầng và sưng mắt.&lt;/highlight&gt; Để ngăn ngừa nếp nhăn, trộn hai thìa cà phê nước mía với bột nghệ và thoa hỗn hợp này lên da vài lần trong một tháng hoặc 10 phút một lần rồi rửa lại bằng nước sạch.</t>
  </si>
  <si>
    <t>Nước mía lau có thể được thoa lên mi trên và mi dưới bằng miếng gạc sạch để giúp giảm thâm quầng và sưng mắt.</t>
  </si>
  <si>
    <t>Nước mía lau có thể được sử dụng để giảm thâm quầng và sưng mắt bằng cách trộn hai thìa cà phê nước mía với bột nghệ và thoa hỗn hợp này lên da vài lần trong một tháng hoặc 10 phút một lần rồi rửa lại bằng nước sạch.</t>
  </si>
  <si>
    <t>Tại sao cần bảo quản Barole nơi khô ráo, thoáng mát?</t>
  </si>
  <si>
    <t>Bảo quản Barole nơi khô ráo, thoáng mát, nhiệt độ dưới 30°C. Đặt thuốc ở vị trí tránh ánh sáng trực tiếp từ mặt trời và tránh độ ẩm cao. Dược sĩ Trần Việt Linh hy vọng bạn đọc đã hiểu hơn về thuốc Barole qua bài viết trên. Để đảm bảo sự an toàn và hiệu quả trong quá trình sử dụng, bạn hãy đọc kỹ và tuân thủ theo hướng dẫn từ nhà sản xuất nhé!</t>
  </si>
  <si>
    <t>1. [Final Score: 1.0000] Bảo quản Barole nơi khô ráo, thoáng mát, nhiệt độ dưới 30°C. Đặt thuốc ở vị trí tránh ánh sáng trực tiếp từ mặt trời và tránh độ ẩm cao. Dược sĩ Trần Việt Linh hy vọng bạn đọc đã hiểu hơn về thuốc Barole qua bài viết trên.
   - Unnormalized (Vec/BM25/Rerank): 0.8926 / 1.9178 / 0.8174
   - Normalized (Vec/BM25/Rerank):   1.0000 / 1.0000 / 1.0000
X2. [Final Score: 0.0000] Để đảm bảo sự an toàn và hiệu quả trong quá trình sử dụng, bạn hãy đọc kỹ và tuân thủ theo hướng dẫn từ nhà sản xuất nhé!
   - Unnormalized (Vec/BM25/Rerank): 0.5176 / 0.0827 / 0.6389
   - Normalized (Vec/BM25/Rerank):   0.0000 / 0.0000 / 0.0000</t>
  </si>
  <si>
    <t>1. Bảo quản Barole nơi khô ráo, thoáng mát, nhiệt độ dưới 30°C. Đặt thuốc ở vị trí tránh ánh sáng trực tiếp từ mặt trời và tránh độ ẩm cao. Dược sĩ Trần Việt Linh hy vọng bạn đọc đã hiểu hơn về thuốc Barole qua bài viết trên.</t>
  </si>
  <si>
    <t>&lt;highlight&gt;Bảo quản Barole nơi khô ráo, thoáng mát, nhiệt độ dưới 30°C. Đặt thuốc ở vị trí tránh ánh sáng trực tiếp từ mặt trời và tránh độ ẩm cao. Dược sĩ Trần Việt Linh hy vọng bạn đọc đã hiểu hơn về thuốc Barole qua bài viết trên.&lt;/highlight&gt; Để đảm bảo sự an toàn và hiệu quả trong quá trình sử dụng, bạn hãy đọc kỹ và tuân thủ theo hướng dẫn từ nhà sản xuất nhé!</t>
  </si>
  <si>
    <t>Để đảm bảo thuốc không bị biến chất, xuống cấp hoặc mất tác dụng do tiếp xúc với nhiệt độ cao, độ ẩm cao hoặc ánh sáng trực tiếp từ mặt trời.</t>
  </si>
  <si>
    <t>Bảo quản Barole nơi khô ráo, thoáng mát giúp ngăn ngừa sự phát triển của vi khuẩn, nấm mốc và các loại bệnh lý khác có thể gây hại cho thuốc.</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</si>
  <si>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</si>
  <si>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</si>
  <si>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1. [Final Score: 0.7634]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 Unnormalized (Vec/BM25/Rerank): 0.7454 / 1.3411 / 0.7952
   - Normalized (Vec/BM25/Rerank):   1.0000 / 0.5579 / 0.7162
2. [Final Score: 0.7500]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
   - Unnormalized (Vec/BM25/Rerank): 0.0000 / 2.4038 / 0.8397
   - Normalized (Vec/BM25/Rerank):   0.0000 / 1.0000 / 1.0000
X3. [Final Score: 0.4330] - Giảm cân cũng góp phần giảm sức ép lên khớp háng. Giảm cân giúp giảm đau và cải thiện chức năng của khớp.
   - Unnormalized (Vec/BM25/Rerank): 0.6963 / 0.0000 / 0.7351
   - Normalized (Vec/BM25/Rerank):   0.9341 / 0.0000 / 0.3325
X4. [Final Score: 0.3112] Điều này làm giảm đi sức ép lên khớp háng.
   - Unnormalized (Vec/BM25/Rerank): 0.6811 / 1.3267 / 0.6830
   - Normalized (Vec/BM25/Rerank):   0.9138 / 0.5519 / 0.0000</t>
  </si>
  <si>
    <t>1.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2.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</si>
  <si>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Thay đổi lối sống. &lt;highlight&gt;Cũng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xe).&lt;/highlight&gt; Điều này làm giảm đi sức ép lên khớp háng.
- Giảm cân cũng góp phần giảm sức ép lên khớp háng. Giảm cân giúp giảm đau và cải thiện chức năng của khớp. &lt;highlight&gt;Vật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viêm.&lt;/highlight&gt;</t>
  </si>
  <si>
    <t>Vật lý trị liệu bao gồm các bài tập đặc biệt giúp tăng khả năng vận động, độ dẻo dai và sức mạnh cơ ở chân và háng.</t>
  </si>
  <si>
    <t>Vật lý trị liệu giúp tăng khả năng vận động và độ dẻo dai, cũng như tăng cường sức mạnh của cơ ở chân và háng.</t>
  </si>
  <si>
    <t>Làm thế nào để não úng thủy được điều trị?</t>
  </si>
  <si>
    <t>Điều trị não úng thủy có vai trò quan trọng của ngoại khoa – phẫu thuật. Việc điều trị nội khoa – dùng thuốc đóng vai trò hỗ trợ cho điều trị ngoại khoa. Các loại thuốc thường dùng như : - Acetazolamide.
-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t>
  </si>
  <si>
    <t>1. [Final Score: 0.9424] Điều trị não úng thủy có vai trò quan trọng của ngoại khoa – phẫu thuật. Việc điều trị nội khoa – dùng thuốc đóng vai trò hỗ trợ cho điều trị ngoại khoa.
   - Unnormalized (Vec/BM25/Rerank): 0.8246 / 1.6651 / 0.8660
   - Normalized (Vec/BM25/Rerank):   0.7696 / 1.0000 / 1.0000
2. [Final Score: 0.8615] - Furosemide. Bác sĩ điều trị não úng thủy bằng phương pháp phẫu thuật, qua đó tạo một đường thoát dịch não tủy ra bớt khỏi đầu.
   - Unnormalized (Vec/BM25/Rerank): 0.8490 / 1.4483 / 0.8586
   - Normalized (Vec/BM25/Rerank):   1.0000 / 0.4233 / 0.9134
X3. [Final Score: 0.0000]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
   - Unnormalized (Vec/BM25/Rerank): 0.7429 / 1.2892 / 0.7800
   - Normalized (Vec/BM25/Rerank):   0.0000 / 0.0000 / 0.0000</t>
  </si>
  <si>
    <t>1. Điều trị não úng thủy có vai trò quan trọng của ngoại khoa – phẫu thuật. Việc điều trị nội khoa – dùng thuốc đóng vai trò hỗ trợ cho điều trị ngoại khoa.
2. - Furosemide. Bác sĩ điều trị não úng thủy bằng phương pháp phẫu thuật, qua đó tạo một đường thoát dịch não tủy ra bớt khỏi đầu.</t>
  </si>
  <si>
    <t>&lt;highlight&gt;Điều trị não úng thủy có vai trò quan trọng của ngoại khoa – phẫu thuật. Việc điều trị nội khoa – dùng thuốc đóng vai trò hỗ trợ cho điều trị ngoại khoa.&lt;/highlight&gt; Các loại thuốc thường dùng như : - Acetazolamide.
&lt;highlight&gt;- Furosemide. Bác sĩ điều trị não úng thủy bằng phương pháp phẫu thuật, qua đó tạo một đường thoát dịch não tủy ra bớt khỏi đầu.&lt;/highlight&gt;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t>
  </si>
  <si>
    <t>Điều trị não úng thủy có vai trò quan trọng của ngoại khoa – phẫu thuật, trong đó việc điều trị nội khoa – dùng thuốc đóng vai trò hỗ trợ.</t>
  </si>
  <si>
    <t>Nên phẫu thuật, sử dụng thuốc hoặc nội soi phá sàn não thất III.</t>
  </si>
  <si>
    <t>Sự phát triển của màng trinh có liên quan đến hormone nào?</t>
  </si>
  <si>
    <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t>
  </si>
  <si>
    <t>1. [Final Score: 0.9942]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 Unnormalized (Vec/BM25/Rerank): 0.7670 / 1.6355 / 0.8033
   - Normalized (Vec/BM25/Rerank):   0.9973 / 0.9658 / 1.0000
2. [Final Score: 0.8796] 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 Unnormalized (Vec/BM25/Rerank): 0.7280 / 1.6934 / 0.7795
   - Normalized (Vec/BM25/Rerank):   0.9467 / 1.0000 / 0.8215
3. [Final Score: 0.7303]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
   - Unnormalized (Vec/BM25/Rerank): 0.7691 / 0.0000 / 0.7768
   - Normalized (Vec/BM25/Rerank):   1.0000 / 0.0000 / 0.8005
X4. [Final Score: 0.0664] Màng trinh có lớp trong dày đặc.
   - Unnormalized (Vec/BM25/Rerank): 0.0000 / 0.7501 / 0.6705
   - Normalized (Vec/BM25/Rerank):   0.0000 / 0.4430 / 0.0000</t>
  </si>
  <si>
    <t>1.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2. 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3.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t>
  </si>
  <si>
    <t>&lt;highlight&gt;Đường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dục.&lt;/highlight&gt;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Màng trinh có lớp trong dày đặc. &lt;highlight&gt;Ở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này.&lt;/highlight&gt; &lt;highlight&gt;Lỗ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lại.&lt;/highlight&gt;</t>
  </si>
  <si>
    <t>Sự phát triển của màng trinh có liên quan đến hormone estrogen trong thời kỳ dậy thì.</t>
  </si>
  <si>
    <t>Sự phát triển của màng trinh có liên quan đến hormone estrogen.</t>
  </si>
  <si>
    <t>Đôi khi khi gập và duỗi chân có các cơn đau xuất sang bên ngoài khớp gối, là những cơn đau kịch phát, giống cơn đau xuất sang ngoài của khớp gối là biểu hiệu của ?:</t>
  </si>
  <si>
    <t>X quang khớp gối: Đây là xét nghiệm chủ yếu và thường gặp nhất. Nó mang lại rất nhiều thông tin về hệ xương, đôi khi là gân.
- MRI: Là chẩn đoán hình ảnh rất mạnh mẽ. 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Nó giúp cơ thể người có thể đứng thẳng cũng như gập, duỗi cẳng chân.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t>
  </si>
  <si>
    <t>1. [Final Score: 0.9873]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
   - Unnormalized (Vec/BM25/Rerank): 0.7115 / 4.0100 / 0.8432
   - Normalized (Vec/BM25/Rerank):   1.0000 / 0.9156 / 1.0000
2. [Final Score: 0.7672] 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 Unnormalized (Vec/BM25/Rerank): 0.6373 / 4.1437 / 0.8426
   - Normalized (Vec/BM25/Rerank):   0.0977 / 1.0000 / 0.9879
X3. [Final Score: 0.0000] X quang khớp gối: Đây là xét nghiệm chủ yếu và thường gặp nhất. Nó mang lại rất nhiều thông tin về hệ xương, đôi khi là gân.
   - Unnormalized (Vec/BM25/Rerank): 0.6292 / 2.5609 / 0.7927
   - Normalized (Vec/BM25/Rerank):   0.0000 / 0.0000 / 0.0000</t>
  </si>
  <si>
    <t>1.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
2. 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t>
  </si>
  <si>
    <t>X quang khớp gối: Đây là xét nghiệm chủ yếu và thường gặp nhất. Nó mang lại rất nhiều thông tin về hệ xương, đôi khi là gân.
- MRI: Là chẩn đoán hình ảnh rất mạnh mẽ. &lt;highlight&gt;Nó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thể.&lt;/highlight&gt; Nó giúp cơ thể người có thể đứng thẳng cũng như gập, duỗi cẳng chân. &lt;highlight&gt;Cấu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gối.&lt;/highlight&gt;</t>
  </si>
  <si>
    <t>Rách, đứt rách gân bánh chè hoặc đứt sụn chêm.</t>
  </si>
  <si>
    <t>Đôi khi khi gập và duỗi chân có các cơn đau xuất sang bên ngoài khớp gối, là những cơn đau kịch phát, giống cơn đau xuất sang ngoài của khớp gối là biểu hiệu của viêm khớp gối.</t>
  </si>
  <si>
    <t>Có những dấu hiệu nào cho thấy trẻ bị hẹp bao quy đầu?</t>
  </si>
  <si>
    <t>Đối với trẻ nhỏ, phụ huynh cần đưa trẻ đến gặp bác sĩ chuyên khoa để thăm khám nếu gặp các dấu hiệu sau: - Trong lúc vệ sinh, trẻ không thể tuột bao quy đầu.
- Bao quy đầu đau và sưng đỏ, da có thể xuất hiện tình trạng căng bóng. Nhiều trường hợp bao quy đầu sẽ có màu tím vì bị nghẹt do máu không lưu thông.
- Trẻ gặp vấn đề liên quan đến việc tiểu tiện như tiểu nhiều lần, thấy đau buốt khi tiểu, khó tiểu…</t>
  </si>
  <si>
    <t>1. [Final Score: 1.0000] Đối với trẻ nhỏ, phụ huynh cần đưa trẻ đến gặp bác sĩ chuyên khoa để thăm khám nếu gặp các dấu hiệu sau: - Trong lúc vệ sinh, trẻ không thể tuột bao quy đầu.
- Bao quy đầu đau và sưng đỏ, da có thể xuất hiện tình trạng căng bóng.
   - Unnormalized (Vec/BM25/Rerank): 0.7776 / 1.0093 / 0.8378
   - Normalized (Vec/BM25/Rerank):   1.0000 / 1.0000 / 1.0000
X2. [Final Score: 0.0000] Nhiều trường hợp bao quy đầu sẽ có màu tím vì bị nghẹt do máu không lưu thông.
- Trẻ gặp vấn đề liên quan đến việc tiểu tiện như tiểu nhiều lần, thấy đau buốt khi tiểu, khó tiểu…
   - Unnormalized (Vec/BM25/Rerank): 0.6526 / 0.9778 / 0.8148
   - Normalized (Vec/BM25/Rerank):   0.0000 / 0.0000 / 0.0000</t>
  </si>
  <si>
    <t>1. Đối với trẻ nhỏ, phụ huynh cần đưa trẻ đến gặp bác sĩ chuyên khoa để thăm khám nếu gặp các dấu hiệu sau: - Trong lúc vệ sinh, trẻ không thể tuột bao quy đầu.
- Bao quy đầu đau và sưng đỏ, da có thể xuất hiện tình trạng căng bóng.</t>
  </si>
  <si>
    <t>&lt;highlight&gt;Đối với trẻ nhỏ, phụ huynh cần đưa trẻ đến gặp bác sĩ chuyên khoa để thăm khám nếu gặp các dấu hiệu sau: - Trong lúc vệ sinh, trẻ không thể tuột bao quy đầu.
- Bao quy đầu đau và sưng đỏ, da có thể xuất hiện tình trạng căng bóng.&lt;/highlight&gt; Nhiều trường hợp bao quy đầu sẽ có màu tím vì bị nghẹt do máu không lưu thông.
- Trẻ gặp vấn đề liên quan đến việc tiểu tiện như tiểu nhiều lần, thấy đau buốt khi tiểu, khó tiểu…</t>
  </si>
  <si>
    <t>Trẻ không thể tuột bao quy đầu trong lúc vệ sinh, bao quy đầu đau và sưng đỏ, da có thể xuất hiện tình trạng căng bóng. Trong một số trường hợp, bao quy đầu có thể có màu tím vì bị nghẹt do máu không lưu thông.</t>
  </si>
  <si>
    <t>Trẻ bị hẹp bao quy đầu có thể gặp các dấu hiệu sau: Trong lúc vệ sinh, trẻ không thể tuột bao quy đầu; Bao quy đầu đau và sưng đỏ, da có thể xuất hiện tình trạng căng bóng; Nhiều trường hợp bao quy đầu sẽ có màu tím vì bị nghẹt do máu không lưu thông; Trẻ gặp vấn đề liên quan đến việc tiểu tiện như tiểu nhiều lần, thấy đau buốt khi tiểu, khó tiểu…</t>
  </si>
  <si>
    <t>Extract_EN_Answer</t>
  </si>
  <si>
    <t>Extract_EN_Avg-Score</t>
  </si>
  <si>
    <t>Bảo quản Barole nơi khô ráo, thoáng mát giúp ngăn ngừa sự phát triển của vi khuẩn, nấm mốc và các loại vi khuẩn khác có thể gây hại cho thuốc.</t>
  </si>
  <si>
    <t>Nên sử dụng phương pháp phẫu thuật để điều trị não úng thủy.</t>
  </si>
  <si>
    <t>Trẻ bị hẹp bao quy đầu có thể gặp các dấu hiệu sau: Trong lúc vệ sinh, trẻ không thể tuột bao quy đầu; Bao quy đầu đau và sưng đỏ, da có thể xuất hiện tình trạng căng bóng; Trẻ gặp vấn đề liên quan đến việc tiểu tiện như tiểu nhiều lần, thấy đau buốt khi tiểu, khó tiểu…</t>
  </si>
  <si>
    <r>
      <t xml:space="preserve">Brufen là thuốc hạ sốt, </t>
    </r>
    <r>
      <rPr>
        <sz val="11"/>
        <color rgb="FF00B050"/>
        <rFont val="Arial"/>
        <family val="2"/>
        <scheme val="minor"/>
      </rPr>
      <t>chống viêm không steroid (NSAIDs)</t>
    </r>
    <r>
      <rPr>
        <sz val="11"/>
        <color theme="1"/>
        <rFont val="Arial"/>
        <family val="2"/>
        <scheme val="minor"/>
      </rPr>
      <t xml:space="preserve">, </t>
    </r>
    <r>
      <rPr>
        <sz val="11"/>
        <color rgb="FF00B050"/>
        <rFont val="Arial"/>
        <family val="2"/>
        <scheme val="minor"/>
      </rPr>
      <t>có tác dụng giảm đau, hạ sốt, chống viêm</t>
    </r>
    <r>
      <rPr>
        <sz val="11"/>
        <color theme="1"/>
        <rFont val="Arial"/>
        <family val="2"/>
        <scheme val="minor"/>
      </rPr>
      <t>.</t>
    </r>
  </si>
  <si>
    <r>
      <t xml:space="preserve">1. [Final Score: 0.9634] </t>
    </r>
    <r>
      <rPr>
        <sz val="10"/>
        <color rgb="FFFF0000"/>
        <rFont val="Arial"/>
        <family val="2"/>
        <scheme val="minor"/>
      </rPr>
      <t>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t>
    </r>
    <r>
      <rPr>
        <sz val="10"/>
        <color theme="1"/>
        <rFont val="Arial"/>
        <family val="2"/>
        <scheme val="minor"/>
      </rPr>
      <t xml:space="preserve">
   - Unnormalized (Vec/BM25/Rerank): 0.7896 / 1.9973 / 0.8305
   - Normalized (Vec/BM25/Rerank):   1.0000 / 0.7558 / 1.0000
2. [Final Score: 0.6829] 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 Unnormalized (Vec/BM25/Rerank): 0.0000 / 2.6427 / 0.8136
   - Normalized (Vec/BM25/Rerank):   0.0000 / 1.0000 / 0.8882
X3. [Final Score: 0.4709] </t>
    </r>
    <r>
      <rPr>
        <b/>
        <sz val="10"/>
        <color theme="1"/>
        <rFont val="Arial"/>
        <family val="2"/>
        <scheme val="minor"/>
      </rPr>
      <t>Tình trạng này ảnh hưởng thường xuyên nhất ở những người trên 50 tuổi và phổ biến ở phụ nữ hơn là nam giới.</t>
    </r>
    <r>
      <rPr>
        <sz val="10"/>
        <color theme="1"/>
        <rFont val="Arial"/>
        <family val="2"/>
        <scheme val="minor"/>
      </rPr>
      <t xml:space="preserve">
   - Unnormalized (Vec/BM25/Rerank): 0.6430 / 1.1115 / 0.7312
   - Normalized (Vec/BM25/Rerank):   0.8144 / 0.4206 / 0.3404
X4. [Final Score: 0.1926] Ban đầu nó chỉ gây những cơn đau nhẹ và ngắn.
   - Unnormalized (Vec/BM25/Rerank): 0.6084 / 0.0000 / 0.6799
   - Normalized (Vec/BM25/Rerank):   0.7705 / 0.0000 / 0.0000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</si>
</sst>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scheme val="minor"/>
    </font>
    <font>
      <b/>
      <sz val="11"/>
      <name val="Arial"/>
    </font>
    <font>
      <sz val="11"/>
      <color rgb="FF00B050"/>
      <name val="Arial"/>
      <family val="2"/>
      <scheme val="minor"/>
    </font>
    <font>
      <sz val="10"/>
      <color theme="1"/>
      <name val="Arial"/>
      <family val="2"/>
      <scheme val="minor"/>
    </font>
    <font>
      <sz val="10"/>
      <color rgb="FFFF0000"/>
      <name val="Arial"/>
      <family val="2"/>
      <scheme val="minor"/>
    </font>
    <font>
      <b/>
      <sz val="10"/>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xf numFmtId="0" fontId="1" fillId="0" borderId="1" xfId="0" applyFont="1" applyBorder="1" applyAlignment="1">
      <alignment horizontal="center" vertical="top" wrapText="1"/>
    </xf>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
  <sheetViews>
    <sheetView tabSelected="1" topLeftCell="A2" zoomScale="204" zoomScaleNormal="204" workbookViewId="0">
      <selection activeCell="E3" sqref="E3"/>
    </sheetView>
  </sheetViews>
  <sheetFormatPr defaultRowHeight="14" x14ac:dyDescent="0.3"/>
  <cols>
    <col min="5" max="5" width="55.4140625" style="2" customWidth="1"/>
    <col min="6" max="6" width="65.9140625" style="2" customWidth="1"/>
    <col min="7" max="7" width="13.25" style="3" customWidth="1"/>
  </cols>
  <sheetData>
    <row r="1" spans="1:19" x14ac:dyDescent="0.3">
      <c r="A1" s="1" t="s">
        <v>0</v>
      </c>
      <c r="B1" s="1" t="s">
        <v>1</v>
      </c>
      <c r="C1" s="1" t="s">
        <v>2</v>
      </c>
      <c r="D1" s="1" t="s">
        <v>3</v>
      </c>
      <c r="E1" s="4" t="s">
        <v>4</v>
      </c>
      <c r="F1" s="4" t="s">
        <v>5</v>
      </c>
      <c r="G1" s="1" t="s">
        <v>6</v>
      </c>
      <c r="H1" s="1" t="s">
        <v>7</v>
      </c>
      <c r="I1" s="1" t="s">
        <v>8</v>
      </c>
      <c r="J1" s="1" t="s">
        <v>9</v>
      </c>
      <c r="K1" s="1" t="s">
        <v>10</v>
      </c>
      <c r="L1" s="1" t="s">
        <v>11</v>
      </c>
      <c r="M1" s="1" t="s">
        <v>12</v>
      </c>
      <c r="N1" s="1" t="s">
        <v>13</v>
      </c>
      <c r="O1" s="1" t="s">
        <v>14</v>
      </c>
      <c r="Q1" t="s">
        <v>86</v>
      </c>
      <c r="R1" t="s">
        <v>87</v>
      </c>
    </row>
    <row r="2" spans="1:19" ht="224" x14ac:dyDescent="0.3">
      <c r="A2">
        <v>0</v>
      </c>
      <c r="B2" t="s">
        <v>15</v>
      </c>
      <c r="C2" t="s">
        <v>16</v>
      </c>
      <c r="D2" t="s">
        <v>17</v>
      </c>
      <c r="E2" s="2" t="s">
        <v>18</v>
      </c>
      <c r="F2" s="2" t="s">
        <v>19</v>
      </c>
      <c r="G2" s="3" t="s">
        <v>20</v>
      </c>
      <c r="H2" t="s">
        <v>21</v>
      </c>
      <c r="I2" t="s">
        <v>22</v>
      </c>
      <c r="J2" t="s">
        <v>91</v>
      </c>
      <c r="K2">
        <v>0.43940000000000001</v>
      </c>
      <c r="L2">
        <v>0.35560000000000003</v>
      </c>
      <c r="M2">
        <v>0.185</v>
      </c>
      <c r="N2">
        <v>0.42720000000000002</v>
      </c>
      <c r="O2">
        <v>0.78979999999999995</v>
      </c>
      <c r="Q2" t="s">
        <v>23</v>
      </c>
      <c r="R2">
        <v>0.43940000000000001</v>
      </c>
      <c r="S2">
        <f>K2-R2</f>
        <v>0</v>
      </c>
    </row>
    <row r="3" spans="1:19" ht="264" x14ac:dyDescent="0.3">
      <c r="A3">
        <v>1</v>
      </c>
      <c r="B3" t="s">
        <v>15</v>
      </c>
      <c r="C3" t="s">
        <v>16</v>
      </c>
      <c r="D3" t="s">
        <v>24</v>
      </c>
      <c r="E3" s="2" t="s">
        <v>25</v>
      </c>
      <c r="F3" s="5" t="s">
        <v>92</v>
      </c>
      <c r="G3" s="3" t="s">
        <v>26</v>
      </c>
      <c r="H3" t="s">
        <v>27</v>
      </c>
      <c r="I3" t="s">
        <v>28</v>
      </c>
      <c r="J3" t="s">
        <v>29</v>
      </c>
      <c r="K3">
        <v>0.83099999999999996</v>
      </c>
      <c r="L3">
        <v>0.86570000000000003</v>
      </c>
      <c r="M3">
        <v>0.66879999999999995</v>
      </c>
      <c r="N3">
        <v>0.84689999999999999</v>
      </c>
      <c r="O3">
        <v>0.94269999999999998</v>
      </c>
      <c r="Q3" t="s">
        <v>29</v>
      </c>
      <c r="R3">
        <v>0.83099999999999996</v>
      </c>
      <c r="S3">
        <f t="shared" ref="S3:S11" si="0">K3-R3</f>
        <v>0</v>
      </c>
    </row>
    <row r="4" spans="1:19" ht="238" x14ac:dyDescent="0.3">
      <c r="A4">
        <v>2</v>
      </c>
      <c r="B4" t="s">
        <v>15</v>
      </c>
      <c r="C4" t="s">
        <v>16</v>
      </c>
      <c r="D4" t="s">
        <v>30</v>
      </c>
      <c r="E4" s="2" t="s">
        <v>31</v>
      </c>
      <c r="F4" s="2" t="s">
        <v>32</v>
      </c>
      <c r="G4" s="3" t="s">
        <v>33</v>
      </c>
      <c r="H4" t="s">
        <v>34</v>
      </c>
      <c r="I4" t="s">
        <v>35</v>
      </c>
      <c r="J4" t="s">
        <v>36</v>
      </c>
      <c r="K4">
        <v>0.45850000000000002</v>
      </c>
      <c r="L4">
        <v>0.43640000000000001</v>
      </c>
      <c r="M4">
        <v>0.18110000000000001</v>
      </c>
      <c r="N4">
        <v>0.39639999999999997</v>
      </c>
      <c r="O4">
        <v>0.82020000000000004</v>
      </c>
      <c r="Q4" t="s">
        <v>36</v>
      </c>
      <c r="R4">
        <v>0.45850000000000002</v>
      </c>
      <c r="S4">
        <f t="shared" si="0"/>
        <v>0</v>
      </c>
    </row>
    <row r="5" spans="1:19" ht="238" x14ac:dyDescent="0.3">
      <c r="A5">
        <v>3</v>
      </c>
      <c r="B5" t="s">
        <v>15</v>
      </c>
      <c r="C5" t="s">
        <v>16</v>
      </c>
      <c r="D5" t="s">
        <v>37</v>
      </c>
      <c r="E5" s="2" t="s">
        <v>38</v>
      </c>
      <c r="F5" s="2" t="s">
        <v>39</v>
      </c>
      <c r="G5" s="3" t="s">
        <v>40</v>
      </c>
      <c r="H5" t="s">
        <v>41</v>
      </c>
      <c r="I5" t="s">
        <v>42</v>
      </c>
      <c r="J5" t="s">
        <v>43</v>
      </c>
      <c r="K5">
        <v>0.47399999999999998</v>
      </c>
      <c r="L5">
        <v>0.34429999999999999</v>
      </c>
      <c r="M5">
        <v>0.19750000000000001</v>
      </c>
      <c r="N5">
        <v>0.55989999999999995</v>
      </c>
      <c r="O5">
        <v>0.79420000000000002</v>
      </c>
      <c r="Q5" t="s">
        <v>43</v>
      </c>
      <c r="R5">
        <v>0.47399999999999998</v>
      </c>
      <c r="S5">
        <f t="shared" si="0"/>
        <v>0</v>
      </c>
    </row>
    <row r="6" spans="1:19" ht="154" x14ac:dyDescent="0.3">
      <c r="A6">
        <v>4</v>
      </c>
      <c r="B6" t="s">
        <v>15</v>
      </c>
      <c r="C6" t="s">
        <v>16</v>
      </c>
      <c r="D6" t="s">
        <v>44</v>
      </c>
      <c r="E6" s="2" t="s">
        <v>45</v>
      </c>
      <c r="F6" s="2" t="s">
        <v>46</v>
      </c>
      <c r="G6" s="3" t="s">
        <v>47</v>
      </c>
      <c r="H6" t="s">
        <v>48</v>
      </c>
      <c r="I6" t="s">
        <v>49</v>
      </c>
      <c r="J6" t="s">
        <v>50</v>
      </c>
      <c r="K6">
        <v>0.25940000000000002</v>
      </c>
      <c r="L6">
        <v>0.27179999999999999</v>
      </c>
      <c r="M6">
        <v>0</v>
      </c>
      <c r="N6">
        <v>7.1599999999999997E-2</v>
      </c>
      <c r="O6">
        <v>0.69420000000000004</v>
      </c>
      <c r="Q6" t="s">
        <v>88</v>
      </c>
      <c r="R6">
        <v>0.2591</v>
      </c>
      <c r="S6">
        <f t="shared" si="0"/>
        <v>3.0000000000002247E-4</v>
      </c>
    </row>
    <row r="7" spans="1:19" ht="350" x14ac:dyDescent="0.3">
      <c r="A7">
        <v>5</v>
      </c>
      <c r="B7" t="s">
        <v>15</v>
      </c>
      <c r="C7" t="s">
        <v>16</v>
      </c>
      <c r="D7" t="s">
        <v>51</v>
      </c>
      <c r="E7" s="2" t="s">
        <v>52</v>
      </c>
      <c r="F7" s="2" t="s">
        <v>53</v>
      </c>
      <c r="G7" s="3" t="s">
        <v>54</v>
      </c>
      <c r="H7" t="s">
        <v>55</v>
      </c>
      <c r="I7" t="s">
        <v>56</v>
      </c>
      <c r="J7" t="s">
        <v>57</v>
      </c>
      <c r="K7">
        <v>0.71030000000000004</v>
      </c>
      <c r="L7">
        <v>0.71599999999999997</v>
      </c>
      <c r="M7">
        <v>0.45629999999999998</v>
      </c>
      <c r="N7">
        <v>0.74870000000000003</v>
      </c>
      <c r="O7">
        <v>0.92030000000000001</v>
      </c>
      <c r="Q7" t="s">
        <v>57</v>
      </c>
      <c r="R7">
        <v>0.71030000000000004</v>
      </c>
      <c r="S7">
        <f t="shared" si="0"/>
        <v>0</v>
      </c>
    </row>
    <row r="8" spans="1:19" ht="252" x14ac:dyDescent="0.3">
      <c r="A8">
        <v>6</v>
      </c>
      <c r="B8" t="s">
        <v>15</v>
      </c>
      <c r="C8" t="s">
        <v>16</v>
      </c>
      <c r="D8" t="s">
        <v>58</v>
      </c>
      <c r="E8" s="2" t="s">
        <v>59</v>
      </c>
      <c r="F8" s="2" t="s">
        <v>60</v>
      </c>
      <c r="G8" s="3" t="s">
        <v>61</v>
      </c>
      <c r="H8" t="s">
        <v>62</v>
      </c>
      <c r="I8" t="s">
        <v>63</v>
      </c>
      <c r="J8" t="s">
        <v>64</v>
      </c>
      <c r="K8">
        <v>0.29509999999999997</v>
      </c>
      <c r="L8">
        <v>0.27689999999999998</v>
      </c>
      <c r="M8">
        <v>0</v>
      </c>
      <c r="N8">
        <v>0.18290000000000001</v>
      </c>
      <c r="O8">
        <v>0.72040000000000004</v>
      </c>
      <c r="Q8" t="s">
        <v>89</v>
      </c>
      <c r="R8">
        <v>0.36840000000000001</v>
      </c>
      <c r="S8">
        <f t="shared" si="0"/>
        <v>-7.3300000000000032E-2</v>
      </c>
    </row>
    <row r="9" spans="1:19" ht="336" x14ac:dyDescent="0.3">
      <c r="A9">
        <v>7</v>
      </c>
      <c r="B9" t="s">
        <v>15</v>
      </c>
      <c r="C9" t="s">
        <v>16</v>
      </c>
      <c r="D9" t="s">
        <v>65</v>
      </c>
      <c r="E9" s="2" t="s">
        <v>66</v>
      </c>
      <c r="F9" s="2" t="s">
        <v>67</v>
      </c>
      <c r="G9" s="3" t="s">
        <v>68</v>
      </c>
      <c r="H9" t="s">
        <v>69</v>
      </c>
      <c r="I9" t="s">
        <v>70</v>
      </c>
      <c r="J9" t="s">
        <v>71</v>
      </c>
      <c r="K9">
        <v>0.78769999999999996</v>
      </c>
      <c r="L9">
        <v>0.82930000000000004</v>
      </c>
      <c r="M9">
        <v>0.63349999999999995</v>
      </c>
      <c r="N9">
        <v>0.74150000000000005</v>
      </c>
      <c r="O9">
        <v>0.9466</v>
      </c>
      <c r="Q9" t="s">
        <v>71</v>
      </c>
      <c r="R9">
        <v>0.78769999999999996</v>
      </c>
      <c r="S9">
        <f t="shared" si="0"/>
        <v>0</v>
      </c>
    </row>
    <row r="10" spans="1:19" ht="280" x14ac:dyDescent="0.3">
      <c r="A10">
        <v>8</v>
      </c>
      <c r="B10" t="s">
        <v>15</v>
      </c>
      <c r="C10" t="s">
        <v>16</v>
      </c>
      <c r="D10" t="s">
        <v>72</v>
      </c>
      <c r="E10" s="2" t="s">
        <v>73</v>
      </c>
      <c r="F10" s="2" t="s">
        <v>74</v>
      </c>
      <c r="G10" s="3" t="s">
        <v>75</v>
      </c>
      <c r="H10" t="s">
        <v>76</v>
      </c>
      <c r="I10" t="s">
        <v>77</v>
      </c>
      <c r="J10" t="s">
        <v>78</v>
      </c>
      <c r="K10">
        <v>0.2346</v>
      </c>
      <c r="L10">
        <v>0.1928</v>
      </c>
      <c r="M10">
        <v>0</v>
      </c>
      <c r="N10">
        <v>6.6699999999999995E-2</v>
      </c>
      <c r="O10">
        <v>0.67869999999999997</v>
      </c>
      <c r="Q10" t="s">
        <v>78</v>
      </c>
      <c r="R10">
        <v>0.2346</v>
      </c>
      <c r="S10">
        <f t="shared" si="0"/>
        <v>0</v>
      </c>
    </row>
    <row r="11" spans="1:19" ht="182" x14ac:dyDescent="0.3">
      <c r="A11">
        <v>9</v>
      </c>
      <c r="B11" t="s">
        <v>15</v>
      </c>
      <c r="C11" t="s">
        <v>16</v>
      </c>
      <c r="D11" t="s">
        <v>79</v>
      </c>
      <c r="E11" s="2" t="s">
        <v>80</v>
      </c>
      <c r="F11" s="2" t="s">
        <v>81</v>
      </c>
      <c r="G11" s="3" t="s">
        <v>82</v>
      </c>
      <c r="H11" t="s">
        <v>83</v>
      </c>
      <c r="I11" t="s">
        <v>84</v>
      </c>
      <c r="J11" t="s">
        <v>85</v>
      </c>
      <c r="K11">
        <v>0.67900000000000005</v>
      </c>
      <c r="L11">
        <v>0.61539999999999995</v>
      </c>
      <c r="M11">
        <v>0.4204</v>
      </c>
      <c r="N11">
        <v>0.82030000000000003</v>
      </c>
      <c r="O11">
        <v>0.86009999999999998</v>
      </c>
      <c r="Q11" t="s">
        <v>90</v>
      </c>
      <c r="R11">
        <v>0.57399999999999995</v>
      </c>
      <c r="S11">
        <f t="shared" si="0"/>
        <v>0.10500000000000009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2025-10-30T11:08:41Z</dcterms:created>
  <dcterms:modified xsi:type="dcterms:W3CDTF">2025-10-30T11:51:35Z</dcterms:modified>
</cp:coreProperties>
</file>