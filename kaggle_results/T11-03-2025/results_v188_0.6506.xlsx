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3-2025\"/>
    </mc:Choice>
  </mc:AlternateContent>
  <xr:revisionPtr revIDLastSave="0" documentId="13_ncr:1_{C81CD861-7F8E-4FE4-8522-D5F694C25337}"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Sheet1!$A$1:$Q$51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1" l="1"/>
  <c r="Q21" i="1"/>
  <c r="Q5" i="1"/>
  <c r="Q6" i="1"/>
  <c r="Q7" i="1"/>
  <c r="Q8" i="1"/>
  <c r="Q9" i="1"/>
  <c r="Q10" i="1"/>
  <c r="Q11" i="1"/>
  <c r="Q12" i="1"/>
  <c r="Q36" i="1"/>
  <c r="Q14" i="1"/>
  <c r="Q15" i="1"/>
  <c r="Q20" i="1"/>
  <c r="Q33" i="1"/>
  <c r="Q13" i="1"/>
  <c r="Q19" i="1"/>
  <c r="Q4" i="1"/>
  <c r="Q17" i="1"/>
  <c r="Q22" i="1"/>
  <c r="Q23" i="1"/>
  <c r="Q24" i="1"/>
  <c r="Q39" i="1"/>
  <c r="Q26" i="1"/>
  <c r="Q27" i="1"/>
  <c r="Q28" i="1"/>
  <c r="Q29" i="1"/>
  <c r="Q30" i="1"/>
  <c r="Q35" i="1"/>
  <c r="Q50" i="1"/>
  <c r="Q47" i="1"/>
  <c r="Q34" i="1"/>
  <c r="Q16" i="1"/>
  <c r="Q43" i="1"/>
  <c r="Q37" i="1"/>
  <c r="Q38" i="1"/>
  <c r="Q31" i="1"/>
  <c r="Q40" i="1"/>
  <c r="Q41" i="1"/>
  <c r="Q42" i="1"/>
  <c r="Q18" i="1"/>
  <c r="Q44" i="1"/>
  <c r="Q45" i="1"/>
  <c r="Q46" i="1"/>
  <c r="Q32" i="1"/>
  <c r="Q48" i="1"/>
  <c r="Q49" i="1"/>
  <c r="Q25" i="1"/>
  <c r="Q51" i="1"/>
  <c r="Q2" i="1"/>
</calcChain>
</file>

<file path=xl/sharedStrings.xml><?xml version="1.0" encoding="utf-8"?>
<sst xmlns="http://schemas.openxmlformats.org/spreadsheetml/2006/main" count="372" uniqueCount="337">
  <si>
    <t>Sample_ID</t>
  </si>
  <si>
    <t>Question</t>
  </si>
  <si>
    <t>Original_Context</t>
  </si>
  <si>
    <t>Full_Chunk_Score_Breakdown</t>
  </si>
  <si>
    <t>Augmented_Context_Used</t>
  </si>
  <si>
    <t>Ground_Truth_Answer</t>
  </si>
  <si>
    <t>highlight_EN_Answer</t>
  </si>
  <si>
    <t>highlight_EN_Avg-Score</t>
  </si>
  <si>
    <t>highlight_EN_ROUGE-L</t>
  </si>
  <si>
    <t>highlight_EN_BLEU</t>
  </si>
  <si>
    <t>highlight_EN_METEOR</t>
  </si>
  <si>
    <t>highlight_EN_BERTScore-F1</t>
  </si>
  <si>
    <t>Thuốc Atussin gây ra những triệu chứng cụ thể nào lên thần kinh?</t>
  </si>
  <si>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</si>
  <si>
    <t>1. [Final Score: 1.0000] -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
   - Unnormalized (Vec/BM25/Rerank): 0.8724 / 1.3754 / 0.8721
   - Normalized (Vec/BM25/Rerank):   1.0000 / 1.0000 / 1.0000</t>
  </si>
  <si>
    <t>&lt;highlight&gt;-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mạng.&lt;/highlight&gt;</t>
  </si>
  <si>
    <t>Thuốc Atussin gây ra các triệu chứng cụ thể lên thần kinh như buồn ngủ, mệt mỏi, chóng mặt, ngủ gật,…</t>
  </si>
  <si>
    <t>Thuốc Atussin gây ra các triệu chứng cụ thể như buồn ngủ, mệt mỏi, chóng mặt, ngủ gật.</t>
  </si>
  <si>
    <t>Tác dụng của hoạt chất adapalene trong Differin là gì?</t>
  </si>
  <si>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</si>
  <si>
    <t>1. [Final Score: 0.5000] Ngoài ra tác dụng kháng khuẩn, kháng viêm của Differin cũng giúp mụn nhanh chóng được loại trừ.
   - Unnormalized (Vec/BM25/Rerank): 0.7144 / 0.6738 / 0.7760
   - Normalized (Vec/BM25/Rerank):   1.0000 / 0.0000 / 0.0000
2. [Final Score: 0.5000] 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 Unnormalized (Vec/BM25/Rerank): 0.7142 / 0.8796 / 0.7763
   - Normalized (Vec/BM25/Rerank):   0.0000 / 1.0000 / 1.0000</t>
  </si>
  <si>
    <t>&lt;highlight&gt;Differin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trừ.&lt;/highlight&gt;</t>
  </si>
  <si>
    <t>Hoạt chất adapalene trong Differin có tác dụng tiêu nhân mụn, hạn chế quá trình hình thành mụn dưới da.</t>
  </si>
  <si>
    <t>Hoạt chất adapalene có tác dụng tiêu nhân mụn, hạn chế quá trình hình thành mụn dưới da.</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</si>
  <si>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</si>
  <si>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</si>
  <si>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1. [Final Score: 0.5000] - Lithi.
- Digoxin.
- Diflunisal.
- Cimetidin.
- Ticlopidin.
- Probenecid.
- Methotrexat.
- Cyclosporin.
- Thuốc lợi tiểu.
   - Unnormalized (Vec/BM25/Rerank): 0.6623 / 0.0953 / 0.6282
   - Normalized (Vec/BM25/Rerank):   1.0000 / 0.0000 / 0.0000
2. [Final Score: 0.5000] - Aspirin hoặc glucocorticoid.
- Thuốc chống đông theo đường uống và heparin.
- Kháng sinh nhóm quinolon: Sparfloxacin, Moxifloxacin, Levofloxacin.
- Thuốc điều trị tăng huyết áp (thuốc ức chế men chuyển, thuốc chẹn beta, thuốc lợi tiểu).
   - Unnormalized (Vec/BM25/Rerank): 0.6292 / 0.1286 / 0.6881
   - Normalized (Vec/BM25/Rerank):   0.0000 / 1.0000 / 1.0000</t>
  </si>
  <si>
    <t>&lt;highlight&gt;-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tiểu).&lt;/highlight&gt;</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</si>
  <si>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</si>
  <si>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Các loại thuốc có thể tương tác với Cataflam bao gồm: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</si>
  <si>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Ngoài Phụ tử, bài thuốc Tứ nghịch thang còn chứa những dược liệu nào khác?</t>
  </si>
  <si>
    <t>(Cụ thể là chứng nôn, tiêu chảy, ra mồ hôi nhiều, chân tay lạnh, mạch nhỏ khó bắt). Phụ tử chế 12 g, Can khương 10 g, Chích thảo 4 g, sắc uống (Tứ nghịch thang –Thương hàn luận).</t>
  </si>
  <si>
    <t>1. [Final Score: 1.0000] (Cụ thể là chứng nôn, tiêu chảy, ra mồ hôi nhiều, chân tay lạnh, mạch nhỏ khó bắt). Phụ tử chế 12 g, Can khương 10 g, Chích thảo 4 g, sắc uống (Tứ nghịch thang –Thương hàn luận).
   - Unnormalized (Vec/BM25/Rerank): 0.6862 / 0.5754 / 0.7893
   - Normalized (Vec/BM25/Rerank):   1.0000 / 1.0000 / 1.0000</t>
  </si>
  <si>
    <t>&lt;highlight&gt;(Cụ thể là chứng nôn, tiêu chảy, ra mồ hôi nhiều, chân tay lạnh, mạch nhỏ khó bắt). Phụ tử chế 12 g, Can khương 10 g, Chích thảo 4 g, sắc uống (Tứ nghịch thang –Thương hàn luận).&lt;/highlight&gt;</t>
  </si>
  <si>
    <t>Ngoài Phụ tử, bài thuốc Tứ nghịch thang còn chứa các dược liệu khác như Can khương, Chích thảo.</t>
  </si>
  <si>
    <t>Ngoài Phụ tử, bài thuốc Tứ nghịch thang còn chứa Can khương, Chích thảo.</t>
  </si>
  <si>
    <t>Phụ nữ có thai có được sử dụng AlphaDHG không?</t>
  </si>
  <si>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</si>
  <si>
    <t>1. [Final Score: 1.0000] Lưu ý, trên các đối tượng là phụ nữ khi mang thai không nên dùng thuốc AlphaDHG vì thuốc có thể ảnh hưởng đến sự phát triển của thai kỳ. Ngoài ra, thuốc có thể bài tiết/thải trừ qua sữa mẹ.
   - Unnormalized (Vec/BM25/Rerank): 0.8826 / 1.5399 / 0.8903
   - Normalized (Vec/BM25/Rerank):   1.0000 / 1.0000 / 1.0000
X2. [Final Score: 0.0000] Do đó, không nên sử dụng thuốc trên đối tượng là phụ nữ đang cho con bú để đảm bảo an toàn cho trẻ nhỏ.
   - Unnormalized (Vec/BM25/Rerank): 0.6202 / 0.8765 / 0.8150
   - Normalized (Vec/BM25/Rerank):   0.0000 / 0.0000 / 0.0000</t>
  </si>
  <si>
    <t>&lt;highlight&gt;Lưu ý, trên các đối tượng là phụ nữ khi mang thai không nên dùng thuốc AlphaDHG vì thuốc có thể ảnh hưởng đến sự phát triển của thai kỳ. Ngoài ra, thuốc có thể bài tiết/thải trừ qua sữa mẹ.&lt;/highlight&gt; Do đó, không nên sử dụng thuốc trên đối tượng là phụ nữ đang cho con bú để đảm bảo an toàn cho trẻ nhỏ.</t>
  </si>
  <si>
    <t>Không, phụ nữ có thai không nên dùng thuốc AlphaDHG vì thuốc có thể ảnh hưởng đến sự phát triển của thai kỳ.</t>
  </si>
  <si>
    <t>Không, phụ nữ có thai không nên sử dụng AlphaDHG vì thuốc có thể ảnh hưởng đến sự phát triển của thai kỳ.</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</si>
  <si>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</si>
  <si>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</si>
  <si>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1. [Final Score: 1.0000]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
   - Unnormalized (Vec/BM25/Rerank): 0.6258 / 2.9201 / 0.8190
   - Normalized (Vec/BM25/Rerank):   1.0000 / 1.0000 / 1.0000
X2. [Final Score: 0.0000] 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 Unnormalized (Vec/BM25/Rerank): 0.4780 / 1.3054 / 0.7906
   - Normalized (Vec/BM25/Rerank):   0.0000 / 0.0000 / 0.0000</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</si>
  <si>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&lt;highlight&gt;Cũng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ngủ.&lt;/highlight&gt;</t>
  </si>
  <si>
    <t>Đo ký giấc ngủ (PSG) được thực hiện tại cơ sở y tế qua đêm và theo dõi hoạt động não, hoạt động mắt, cử động chân, nhịp tim, hô hấp và nồng độ oxy khi ngủ.</t>
  </si>
  <si>
    <t>Đa thông tư ban đêm (PSG) được thực hiện ở cơ sở y tế và theo dõi hoạt động não, chuyển động mắt, cử động chân, nhịp tim, hô hấp và nồng độ oxy khi bệnh nhân đang ngủ.</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</si>
  <si>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</si>
  <si>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</si>
  <si>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1. [Final Score: 1.0000] 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 Unnormalized (Vec/BM25/Rerank): 0.9397 / 1.5962 / 0.8756
   - Normalized (Vec/BM25/Rerank):   1.0000 / 1.0000 / 1.0000
X2. [Final Score: 0.0000]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
   - Unnormalized (Vec/BM25/Rerank): 0.8395 / 0.8466 / 0.8072
   - Normalized (Vec/BM25/Rerank):   0.0000 / 0.0000 / 0.0000</t>
  </si>
  <si>
    <t>&lt;highlight&gt;Có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áp.&lt;/highlight&gt;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</si>
  <si>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Bệnh mạch vành.</t>
  </si>
  <si>
    <t>Bệnh mạch vành là nguyên nhân hàng đầu gây suy tim trái, với tỷ lệ 60 – 75%.</t>
  </si>
  <si>
    <t>Bạc hà chủ yếu sinh trưởng ở đâu?</t>
  </si>
  <si>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</si>
  <si>
    <t>1. [Final Score: 1.0000] Bạc hà sống tập trung chủ yếu ở các vùng Âu, Á có khí hậu ôn đới. Do đó, tại nước ta, cây xuất hiện nhiều ở Lào Cai, Nghệ An, Lai Châu… Theo một số tài liệu, cây được thu hái vào khoảng tháng 5, 8, 11.
   - Unnormalized (Vec/BM25/Rerank): 0.7804 / 0.9314 / 0.8334
   - Normalized (Vec/BM25/Rerank):   1.0000 / 1.0000 / 1.0000
X2. [Final Score: 0.0000] Thu hoạch lúc cây mới ra hoa, rửa sạch dùng tươi hoặc phơi trong râm cho khô.
   - Unnormalized (Vec/BM25/Rerank): 0.4501 / 0.0000 / 0.6982
   - Normalized (Vec/BM25/Rerank):   0.0000 / 0.0000 / 0.0000</t>
  </si>
  <si>
    <t>&lt;highlight&gt;Bạc hà sống tập trung chủ yếu ở các vùng Âu, Á có khí hậu ôn đới. Do đó, tại nước ta, cây xuất hiện nhiều ở Lào Cai, Nghệ An, Lai Châu… Theo một số tài liệu, cây được thu hái vào khoảng tháng 5, 8, 11.&lt;/highlight&gt; Thu hoạch lúc cây mới ra hoa, rửa sạch dùng tươi hoặc phơi trong râm cho khô.</t>
  </si>
  <si>
    <t>Bạc hà sống tập trung chủ yếu ở các vùng Âu, Á có khí hậu ôn đới.</t>
  </si>
  <si>
    <t>Bạc hà chủ yếu sinh trưởng ở các vùng Âu, Á có khí hậu ôn đới.</t>
  </si>
  <si>
    <t>Bạch mao căn có những tác dụng gì đối với sức khỏe?</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</si>
  <si>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</si>
  <si>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1. [Final Score: 1.0000] -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 Unnormalized (Vec/BM25/Rerank): 0.7634 / 2.1752 / 0.8496
   - Normalized (Vec/BM25/Rerank):   1.0000 / 1.0000 / 1.0000
X2. [Final Score: 0.0000]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
   - Unnormalized (Vec/BM25/Rerank): 0.6036 / 0.6470 / 0.7743
   - Normalized (Vec/BM25/Rerank):   0.0000 / 0.0000 / 0.0000</t>
  </si>
  <si>
    <t>&lt;highlight&gt;-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hay.&lt;/highlight&gt;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</si>
  <si>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Bạch mao căn có tác dụng cầm máu, lợi tiểu, chống vi khuẩn, chống viêm và điều hòa miễn dịch.</t>
  </si>
  <si>
    <t>Mức độ tổn thương dây chằng 3 có thể dẫn đến điều gì?</t>
  </si>
  <si>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</si>
  <si>
    <t>1. [Final Score: 1.0000] 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
   - Unnormalized (Vec/BM25/Rerank): 0.7220 / 1.0137 / 0.8204
   - Normalized (Vec/BM25/Rerank):   1.0000 / 1.0000 / 1.0000</t>
  </si>
  <si>
    <t>&lt;highlight&gt;Dây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hiểm.&lt;/highlight&gt;</t>
  </si>
  <si>
    <t>Có thể dẫn đến hư/sai khớp, vô cùng nguy hiểm.</t>
  </si>
  <si>
    <t>Mức độ tổn thương dây chằng 3 có thể dẫn đến mảnh xương bị sứt theo.</t>
  </si>
  <si>
    <t>Cách dùng của bài thuốc kinh nghiệm từ cây mần tưới được nêu trong văn bản là gì?</t>
  </si>
  <si>
    <t>Mần tưới 20g. Sắc với 300ml nước, còn lại 100ml dùng uống hằng ngày.</t>
  </si>
  <si>
    <t>1. [Final Score: 1.0000] Mần tưới 20g. Sắc với 300ml nước, còn lại 100ml dùng uống hằng ngày.
   - Unnormalized (Vec/BM25/Rerank): 0.5937 / 0.3452 / 0.6698
   - Normalized (Vec/BM25/Rerank):   1.0000 / 1.0000 / 1.0000</t>
  </si>
  <si>
    <t>&lt;highlight&gt;Mần tưới 20g. Sắc với 300ml nước, còn lại 100ml dùng uống hằng ngày.&lt;/highlight&gt;</t>
  </si>
  <si>
    <t>Cách dùng của bài thuốc kinh nghiệm từ cây mần tưới được nêu trong văn bản là sắc với 300ml nước, còn lại 100ml dùng uống hằng ngày.</t>
  </si>
  <si>
    <t>Sắc 20g mần tưới với 300ml nước, còn lại 100ml dùng uống hằng ngày.</t>
  </si>
  <si>
    <t>Rối loạn phân ly hình thành do nguyên nhân nào?</t>
  </si>
  <si>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</si>
  <si>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1. [Final Score: 1.0000]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 Unnormalized (Vec/BM25/Rerank): 0.8253 / 1.1559 / 0.8329
   - Normalized (Vec/BM25/Rerank):   1.0000 / 1.0000 / 1.0000
X2. [Final Score: 0.0000] Bạn đã từng nghe qua chứng rối loạn đa nhân cách chưa? Triệu chứng của bệnh có gì khác so với rối loạn phân ly, cùng tìm hiểu tại bài viết sau: Rối loạn đa nhân cách – rối loạn nhận dạng phân ly: Tuy hai mà một
   - Unnormalized (Vec/BM25/Rerank): 0.6517 / 0.6678 / 0.8136
   - Normalized (Vec/BM25/Rerank):   0.0000 / 0.0000 / 0.0000</t>
  </si>
  <si>
    <t xml:space="preserve"> &lt;highlight&gt;Rối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đời.&lt;/highlight&gt; Bạn đã từng nghe qua chứng rối loạn đa nhân cách chưa? Triệu chứng của bệnh có gì khác so với rối loạn phân ly, cùng tìm hiểu tại bài viết sau: Rối loạn đa nhân cách – rối loạn nhận dạng phân ly: Tuy hai mà một </t>
  </si>
  <si>
    <t>Rối loạn phân ly thường phát triển như một cách để đối phó với các sang chấn tâm lý như lạm dụng về thể xác, tình dục hoặc cảm xúc; căng thẳng do chiến tranh hay thiên tai.</t>
  </si>
  <si>
    <t>Rối loạn phân ly hình thành do các sang chấn tâm lý, lạm dụng thể xác, tình dục hoặc cảm xúc lâu dài, căng thẳng của chiến tranh hoặc thiên tai.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</si>
  <si>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</si>
  <si>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</si>
  <si>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Rồi loạn ngực và trung thất.
   - Unnormalized (Vec/BM25/Rerank): 0.8952 / 1.6444 / 0.7769
   - Normalized (Vec/BM25/Rerank):   1.0000 / 1.0000 / 1.0000
X2. [Final Score: 0.0000]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0.6718 / 1.5498 / 0.7697
   - Normalized (Vec/BM25/Rerank):   0.0000 / 0.0000 / 0.0000</t>
  </si>
  <si>
    <t>&lt;highlight&gt;Những tác dụng không mong muốn có thể xảy ra khi sử dụng thuốc ho Bisolvon thuốc biệt dược bao gồm: - Rối loạn hệ miễn dịch, rối loạn da và mô dưới da.
- Rồi loạn ngực và trung thất.&lt;/highlight&gt;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</si>
  <si>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</si>
  <si>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</si>
  <si>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Trong trường hợp đã được chẩn đoán nang nước cạnh buồng trứng/ tai vòi, bệnh nhân cần lưu ý điều gì?</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</si>
  <si>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</si>
  <si>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1. [Final Score: 1.0000]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
   - Unnormalized (Vec/BM25/Rerank): 0.8571 / 1.9994 / 0.9036
   - Normalized (Vec/BM25/Rerank):   1.0000 / 1.0000 / 1.0000
X2. [Final Score: 0.0000] 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 Unnormalized (Vec/BM25/Rerank): 0.8360 / 0.8776 / 0.8560
   - Normalized (Vec/BM25/Rerank):   0.0000 / 0.0000 / 0.0000</t>
  </si>
  <si>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&lt;highlight&gt;Nếu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ra.&lt;/highlight&gt;</t>
  </si>
  <si>
    <t>Người bệnh nên tuân theo lịch hẹn tái khám của bác sĩ đề ra hoặc tái khám sớm hơn nếu có những triệu chứng bất thường.</t>
  </si>
  <si>
    <t>Trong trường hợp đã được chẩn đoán nang nước cạnh buồng trứng/ tai vòi, bệnh nhân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</si>
  <si>
    <t>Chứng ngưng thở khi ngủ gây ra những hậu quả gì?</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</si>
  <si>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</si>
  <si>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1. [Final Score: 1.0000] 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 Unnormalized (Vec/BM25/Rerank): 0.8737 / 1.7992 / 0.8102
   - Normalized (Vec/BM25/Rerank):   1.0000 / 1.0000 / 1.0000
X2. [Final Score: 0.0000] Chúng dẫn đến tình trạng mất ngủ và mệt mỏi, ảnh hưởng lớn đến học tập và làm việc.
   - Unnormalized (Vec/BM25/Rerank): 0.6351 / 0.1019 / 0.7020
   - Normalized (Vec/BM25/Rerank):   0.0000 / 0.0000 / 0.0000</t>
  </si>
  <si>
    <t>&lt;highlight&gt;Ngáy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giấc.&lt;/highlight&gt; Chúng dẫn đến tình trạng mất ngủ và mệt mỏi, ảnh hưởng lớn đến học tập và làm việc.</t>
  </si>
  <si>
    <t>Chứng ngưng thở khi ngủ có thể dẫn đến các vấn đề về tim mạch như tăng huyết áp, nguy cơ nhồi máu cơ tim.</t>
  </si>
  <si>
    <t>Chứng ngưng thở khi ngủ gây mất ngủ và mệt mỏi, ảnh hưởng lớn đến học tập và làm việc.</t>
  </si>
  <si>
    <t>Bisoplus có thể tương tác với nhóm thuốc nào?</t>
  </si>
  <si>
    <t>Thuốc có thể gây tương tác với:2 - Một số thuốc tim mạch khác như Verapamil, Digoxin,…
- Thuốc an thần, gây nghiện.
- Thuốc giảm đau kháng viêm: Aspirin, Ibuprofen, Naproxen,…
- Colestipol hoặc Cholestyramin.
- Thuốc tiểu đường, insulin,…</t>
  </si>
  <si>
    <t>1. [Final Score: 1.0000] Thuốc có thể gây tương tác với:2 - Một số thuốc tim mạch khác như Verapamil, Digoxin,…
- Thuốc an thần, gây nghiện.
- Thuốc giảm đau kháng viêm: Aspirin, Ibuprofen, Naproxen,…
- Colestipol hoặc Cholestyramin.
   - Unnormalized (Vec/BM25/Rerank): 0.6481 / 1.1436 / 0.7902
   - Normalized (Vec/BM25/Rerank):   1.0000 / 1.0000 / 1.0000
X2. [Final Score: 0.0000] - Thuốc tiểu đường, insulin,…
   - Unnormalized (Vec/BM25/Rerank): 0.5544 / 0.1117 / 0.6469
   - Normalized (Vec/BM25/Rerank):   0.0000 / 0.0000 / 0.0000</t>
  </si>
  <si>
    <t>&lt;highlight&gt;Thuốc có thể gây tương tác với:2 - Một số thuốc tim mạch khác như Verapamil, Digoxin,…
- Thuốc an thần, gây nghiện.
- Thuốc giảm đau kháng viêm: Aspirin, Ibuprofen, Naproxen,…
- Colestipol hoặc Cholestyramin.&lt;/highlight&gt;
- Thuốc tiểu đường, insulin,…</t>
  </si>
  <si>
    <t>Thuốc này có thể gây tương tác với thuốc an thần, gây nghiện.</t>
  </si>
  <si>
    <t>Bisoplus có thể tương tác với nhóm thuốc như: Verapamil, Digoxin, Thuốc an thần, gây nghiện, Thuốc giảm đau kháng viêm, Colestipol hoặc Cholestyramin, Thuốc tiểu đường, insulin.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</si>
  <si>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</si>
  <si>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</si>
  <si>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1.0000]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 Unnormalized (Vec/BM25/Rerank): 0.7551 / 5.8073 / 0.8458
   - Normalized (Vec/BM25/Rerank):   1.0000 / 1.0000 / 1.0000
2. [Final Score: 0.4742]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Unnormalized (Vec/BM25/Rerank): 0.7063 / 3.0073 / 0.8332
   - Normalized (Vec/BM25/Rerank):   0.5466 / 0.3402 / 0.4428
X3. [Final Score: 0.0000]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 Unnormalized (Vec/BM25/Rerank): 0.6474 / 1.5638 / 0.8231
   - Normalized (Vec/BM25/Rerank):   0.0000 / 0.0000 / 0.0000</t>
  </si>
  <si>
    <t xml:space="preserve">&lt;highlight&gt;1.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trợ.&lt;/highlight&gt;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&lt;highlight&gt;Tập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xương.&lt;/highlight&gt; </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</si>
  <si>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</si>
  <si>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vì chân gãy là xương mỏng nhưng đóng vai trò quan trọng ở cẳng chân.</t>
  </si>
  <si>
    <t>Làm thế nào để điều trị bệnh xơ vữa động mạch?</t>
  </si>
  <si>
    <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</si>
  <si>
    <t>1. [Final Score: 1.0000] 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
   - Unnormalized (Vec/BM25/Rerank): 0.9020 / 0.9535 / 0.8167
   - Normalized (Vec/BM25/Rerank):   1.0000 / 1.0000 / 1.0000</t>
  </si>
  <si>
    <t>&lt;highlight&gt;Chủ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thể.&lt;/highlight&gt;</t>
  </si>
  <si>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</si>
  <si>
    <t>Để điều trị bệnh xơ vữa động mạch, người ta sẽ điều trị các yếu tố nguy cơ gây nên xơ vữa động mạch, bao gồm kiểm soát huyết áp, đường huyết tốt, sử dụng thuốc hạn chế gây xơ vữa động mạch và can thiệp nội mạch như đặt stent mạch vành, mạch cảnh, mạch chi… hoặc phẫu thuật tuỳ từng trường hợp cụ thể.</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</si>
  <si>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</si>
  <si>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</si>
  <si>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 Unnormalized (Vec/BM25/Rerank): 0.7858 / 1.8327 / 0.8382
   - Normalized (Vec/BM25/Rerank):   1.0000 / 1.0000 / 1.0000
X2. [Final Score: 0.0000]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0.7266 / 0.2255 / 0.7639
   - Normalized (Vec/BM25/Rerank):   0.0000 / 0.0000 / 0.0000</t>
  </si>
  <si>
    <t>&lt;highlight&gt;Các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thích.&lt;/highlight&gt;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</si>
  <si>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</si>
  <si>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có dấu hiệu bất thường về mắt cá như đau, khó cử động hoặc không nhìn thấy được.</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</si>
  <si>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</si>
  <si>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</si>
  <si>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1.0000]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0.6890 / 1.2932 / 0.8059
   - Normalized (Vec/BM25/Rerank):   1.0000 / 1.0000 / 1.0000
X2. [Final Score: 0.0000]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0.6453 / 0.6494 / 0.7551
   - Normalized (Vec/BM25/Rerank):   0.0000 / 0.0000 / 0.0000</t>
  </si>
  <si>
    <t>&lt;highlight&gt;Đốt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gan.&lt;/highlight&gt;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</si>
  <si>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</si>
  <si>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để bơm những hạt nhỏ kèm chất phóng xạ hay hóa chất gây tắc các mạch máu nuôi khối u và gây chết các tế bào ung thư.</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</si>
  <si>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</si>
  <si>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</si>
  <si>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Unnormalized (Vec/BM25/Rerank): 0.9487 / 2.7042 / 0.9175
   - Normalized (Vec/BM25/Rerank):   1.0000 / 1.0000 / 1.0000
X2. [Final Score: 0.0000] - Tư vấn dinh dưỡng.
   - Unnormalized (Vec/BM25/Rerank): 0.4862 / 0.0000 / 0.5855
   - Normalized (Vec/BM25/Rerank):   0.0000 / 0.0000 / 0.0000</t>
  </si>
  <si>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thần.&lt;/highlight&gt;
- Tư vấn dinh dưỡng.</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</si>
  <si>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</si>
  <si>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kẽ sống một cuộc sống đầy đủ, thỏa mãn.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</si>
  <si>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</si>
  <si>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</si>
  <si>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0.5000] Cứ mỗi 15 ml dầu hạnh nhân sẽ chứa 26% vitamin E. Vitamin E chứa khả năng chống oxy hóa tiềm năng. Loại trừ gốc tự do gây hại cho thành mạch.
   - Unnormalized (Vec/BM25/Rerank): 0.7634 / 0.9416 / 0.7615
   - Normalized (Vec/BM25/Rerank):   1.0000 / 0.0000 / 0.0000
2. [Final Score: 0.5000]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0.6653 / 2.2073 / 0.8341
   - Normalized (Vec/BM25/Rerank):   0.0000 / 1.0000 / 1.0000</t>
  </si>
  <si>
    <t>&lt;highlight&gt;Cứ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già.3&lt;/highlight&gt;</t>
  </si>
  <si>
    <t>Dầu hạnh nhân có thể giúp giảm nguy cơ tim mạch, xơ hóa thành mạch do tuổi tác và suy giảm trí nhớ tuổi già.</t>
  </si>
  <si>
    <t>Dầu hạnh nhân có thể giúp giảm nguy cơ mắc các bệnh tim mạch, xơ hóa thành mạch do tuổi tác và suy giảm trí nhớ tuổi già.</t>
  </si>
  <si>
    <t>Dưới ánh sáng đèn Wood, những tổn thương da do nhiễm nấm phát quang màu gì?</t>
  </si>
  <si>
    <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</si>
  <si>
    <t>1. [Final Score: 1.0000] -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
   - Unnormalized (Vec/BM25/Rerank): 0.8559 / 1.9682 / 0.8953
   - Normalized (Vec/BM25/Rerank):   1.0000 / 1.0000 / 1.0000</t>
  </si>
  <si>
    <t>&lt;highlight&gt;-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nhạt.&lt;/highlight&gt;</t>
  </si>
  <si>
    <t>Màu xanh lá cây nhạt.</t>
  </si>
  <si>
    <t>Dưới ánh sáng đèn Wood, những tổn thương da do nhiễm nấm phát quang màu xanh lá cây nhạt.</t>
  </si>
  <si>
    <t>Vị trí của răng nanh giống hay khác với vị trí răng tương đương của loài chó?</t>
  </si>
  <si>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</si>
  <si>
    <t>1. [Final Score: 1.0000] Răng nanh được đặt tên cho giống với răng tương tự của loài chó. Tuy nhiên răng của con người không dài, nhọn hoặc sắc như răng tương đương trong miệng chó.
   - Unnormalized (Vec/BM25/Rerank): 0.7748 / 2.8585 / 0.8465
   - Normalized (Vec/BM25/Rerank):   1.0000 / 1.0000 / 1.0000
X2. [Final Score: 0.0000] Nhưng chúng đều ở cùng một vị trí và thường dài, nhọn hơn các răng khác.
   - Unnormalized (Vec/BM25/Rerank): 0.7511 / 1.8300 / 0.7748
   - Normalized (Vec/BM25/Rerank):   0.0000 / 0.0000 / 0.0000</t>
  </si>
  <si>
    <t>&lt;highlight&gt;Răng nanh được đặt tên cho giống với răng tương tự của loài chó. Tuy nhiên răng của con người không dài, nhọn hoặc sắc như răng tương đương trong miệng chó.&lt;/highlight&gt; Nhưng chúng đều ở cùng một vị trí và thường dài, nhọn hơn các răng khác.</t>
  </si>
  <si>
    <t>Vị trí của răng nanh ở người và ở loài chó là giống nhau.</t>
  </si>
  <si>
    <t>Răng nanh được đặt tên cho giống với răng tương tự của loài chó, tuy nhiên chúng đều ở cùng một vị trí và thường dài, nhọn hơn các răng khác.</t>
  </si>
  <si>
    <t>Bệnh Charcot-Marie-Tooth có thể gây ra triệu chứng nào ở chân và mắt cá chân?</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</si>
  <si>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</si>
  <si>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1. [Final Score: 1.0000] Các dấu hiệu và triệu chứng của bệnh Charcot-Marie-Tooth có thể bao gồm: - Yếu ở chân, mắt cá chân và bàn chân.
- Giảm lượng cơ ở chân và lòng bàn chân.
   - Unnormalized (Vec/BM25/Rerank): 0.8806 / 1.9293 / 0.8617
   - Normalized (Vec/BM25/Rerank):   1.0000 / 1.0000 / 1.0000
X2. [Final Score: 0.0000]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
   - Unnormalized (Vec/BM25/Rerank): 0.8335 / 1.0032 / 0.7556
   - Normalized (Vec/BM25/Rerank):   0.0000 / 0.0000 / 0.0000</t>
  </si>
  <si>
    <t>&lt;highlight&gt;Các dấu hiệu và triệu chứng của bệnh Charcot-Marie-Tooth có thể bao gồm: - Yếu ở chân, mắt cá chân và bàn chân.
- Giảm lượng cơ ở chân và lòng bàn chân.&lt;/highlight&gt;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</si>
  <si>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Bệnh Charcot-Marie-Tooth có thể gây ra triệu chứng yếu ở chân, mắt cá chân và bàn chân.</t>
  </si>
  <si>
    <t>Bệnh Charcot-Marie-Tooth có thể gây ra các triệu chứng như: yếu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</si>
  <si>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</si>
  <si>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</si>
  <si>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1. [Final Score: 1.0000]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
   - Unnormalized (Vec/BM25/Rerank): 0.8316 / 3.9296 / 0.8754
   - Normalized (Vec/BM25/Rerank):   1.0000 / 1.0000 / 1.0000
X2. [Final Score: 0.0000] Axit linoleic thuộc nhóm axit béo thiết yếu.
   - Unnormalized (Vec/BM25/Rerank): 0.5053 / 0.0000 / 0.6612
   - Normalized (Vec/BM25/Rerank):   0.0000 / 0.0000 / 0.0000</t>
  </si>
  <si>
    <t>Axit linoleic thuộc nhóm axit béo thiết yếu. &lt;highlight&gt;Cơ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3&lt;/highlight&gt;</t>
  </si>
  <si>
    <t>Tinh dầu hoa anh thảo hoạt động bằng cách giảm các hóa chất trung gian gây viêm, chẳng hạn như interleukins.</t>
  </si>
  <si>
    <t>Cơ chế hoạt động của tinh dầu hoa anh thảo trong việc giảm viêm là giảm các hóa chất trung gian gây viêm, interleukins.</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</si>
  <si>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</si>
  <si>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</si>
  <si>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1. [Final Score: 0.5000] - Quá mẫn kể cả sốc phản vệ thường xảy ra sau khi tiêm Buscopan. Do đó, theo dõi bệnh nhân thật cẩn thận sau khi tiêm.
- Trong tình trạng nghiêm trọng, nếu đau bụng không rõ nguyên nhân kéo dài hoặc tiến triển xấu.
   - Unnormalized (Vec/BM25/Rerank): 0.7331 / 0.9241 / 0.8128
   - Normalized (Vec/BM25/Rerank):   1.0000 / 0.0000 / 0.0000
2. [Final Score: 0.5000]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
   - Unnormalized (Vec/BM25/Rerank): 0.7218 / 4.8242 / 0.8626
   - Normalized (Vec/BM25/Rerank):   0.0000 / 1.0000 / 1.0000</t>
  </si>
  <si>
    <t>&lt;highlight&gt;-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hẹp.&lt;/highlight&gt;</t>
  </si>
  <si>
    <t>Thuốc có thể gây tăng áp lực nội nhãn, vì vậy cần đặc biệt lưu ý khi sử dụng cho những bệnh nhân này.</t>
  </si>
  <si>
    <t>Lưu ý quan trọng khi dùng thuốc Buscopan cho những bệnh nhân chưa được chẩn đoán và chưa được điều trị tăng nhãn áp là do thuốc có thể gây tăng áp lực nội nhãn ở những bệnh nhân này.</t>
  </si>
  <si>
    <t>Hoàng kỳ có lợi ích gì trong điều trị các bệnh tim mạch?</t>
  </si>
  <si>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</si>
  <si>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1. [Final Score: 1.0000] Hoàng kỳ có tác dụng tăng sự co bóp của tim bình thường. Đối với tim bị trúng độc hay do mệt mỏi mà suy kiệt thì tác dụng lại càng rõ rệt.
   - Unnormalized (Vec/BM25/Rerank): 0.7961 / 0.8270 / 0.8081
   - Normalized (Vec/BM25/Rerank):   1.0000 / 1.0000 / 1.0000
X2. [Final Score: 0.0000]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
   - Unnormalized (Vec/BM25/Rerank): 0.6321 / 0.6399 / 0.7580
   - Normalized (Vec/BM25/Rerank):   0.0000 / 0.0000 / 0.0000</t>
  </si>
  <si>
    <t>&lt;highlight&gt;Hoàng kỳ có tác dụng tăng sự co bóp của tim bình thường. Đối với tim bị trúng độc hay do mệt mỏi mà suy kiệt thì tác dụng lại càng rõ rệt.&lt;/highlight&gt;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</si>
  <si>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Hoàng kỳ có thể giúp cải thiện tình trạng tim suy kiệt do trúng độc hoặc mệt mỏi, bằng cách giúp tăng cường sự co bóp của tim.</t>
  </si>
  <si>
    <t>Hoàng kỳ có tác dụng tăng sự co bóp của tim bình thường,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</si>
  <si>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</si>
  <si>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</si>
  <si>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1. [Final Score: 1.0000] 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 Unnormalized (Vec/BM25/Rerank): 0.7634 / 2.6943 / 0.7795
   - Normalized (Vec/BM25/Rerank):   1.0000 / 1.0000 / 1.0000
X2. [Final Score: 0.0000] Do đó, chúng ta cần bảo vệ các răng cối sữa cho đến thời gian thay răng phù hợp, tránh tình trạng sâu mất sớm.
   - Unnormalized (Vec/BM25/Rerank): 0.5794 / 0.1416 / 0.7028
   - Normalized (Vec/BM25/Rerank):   0.0000 / 0.0000 / 0.0000</t>
  </si>
  <si>
    <t>&lt;highlight&gt;Có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viễn.&lt;/highlight&gt; Do đó, chúng ta cần bảo vệ các răng cối sữa cho đến thời gian thay răng phù hợp, tránh tình trạng sâu mất sớm.</t>
  </si>
  <si>
    <t>Răng cối nhỏ là răng có hình thể chuyển tiếp giữa răng nanh và răng cối lớn, chúng thực hiện chức năng hỗ trợ quá trình nghiền, xé thức ăn của răng cối.</t>
  </si>
  <si>
    <t>RCN có chức năng hỗ trợ quá trình nghiền, xé thức ăn của răng cối.</t>
  </si>
  <si>
    <t>Đan sâm có tác dụng như thế nào đối với mạch máu?</t>
  </si>
  <si>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</si>
  <si>
    <t>1. [Final Score: 1.0000] 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
   - Unnormalized (Vec/BM25/Rerank): 0.8487 / 0.7726 / 0.8164
   - Normalized (Vec/BM25/Rerank):   1.0000 / 1.0000 / 1.0000</t>
  </si>
  <si>
    <t>&lt;highlight&gt;Những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nghiệm.&lt;/highlight&gt;</t>
  </si>
  <si>
    <t>Đan sâm làm tăng sự điều hòa mạch máu phụ thuộc vào nội mô và bảo vệ mạch máu ở những con chuột thí nghiệm.</t>
  </si>
  <si>
    <t>Đan sâm có thể làm tăng sự điều hòa mạch máu phụ thuộc vào nội mô và biểu hiện sự bảo vệ mạch máu ở những con chuột thí nghiệm.</t>
  </si>
  <si>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</si>
  <si>
    <t>1. [Final Score: 0.7000] Ngoài Việt Nam, Trung Quốc cũng là đất nước cây Hoàng nàn phát triển. Mùa hoa tháng 6 – 8, quả tháng 9 – 11.
   - Unnormalized (Vec/BM25/Rerank): 0.6961 / 1.4150 / 0.7886
   - Normalized (Vec/BM25/Rerank):   1.0000 / 1.0000 / 0.0000
X2. [Final Score: 0.3000] 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 Unnormalized (Vec/BM25/Rerank): 0.5840 / 0.4559 / 0.8009
   - Normalized (Vec/BM25/Rerank):   0.0000 / 0.0000 / 1.0000</t>
  </si>
  <si>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&lt;highlight&gt;Ngoài Việt Nam, Trung Quốc cũng là đất nước cây Hoàng nàn phát triển. Mùa hoa tháng 6 – 8, quả tháng 9 – 11.&lt;/highlight&gt;</t>
  </si>
  <si>
    <t>Ở Việt Nam, Hoàng nàn phân bố ở những vùng núi có đá sỏi lẫn núi đất trong các rừng rậm và rừng phục hồi thuộc các tỉnh Tuyên Quang, Vĩnh Phú, Sơn La, Hoà Bình…</t>
  </si>
  <si>
    <t>Ở Việt Nam, Hoàng nàn phân bố ở các vùng núi có đá sỏi lẫn núi đất trong các rừng rậm và rừng phục hồi thuộc các tỉnh Tuyên Quang, Vĩnh Phú, Sơn La, Hoà Bình…</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</si>
  <si>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</si>
  <si>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</si>
  <si>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1.0000]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 Unnormalized (Vec/BM25/Rerank): 0.8157 / 1.6095 / 0.8086
   - Normalized (Vec/BM25/Rerank):   1.0000 / 1.0000 / 1.0000
X2. [Final Score: 0.0000] Các chất này thiếu liên kết hydro và được bài tiết trực tiếp vào mật không cần chuyển hóa thêm.
   - Unnormalized (Vec/BM25/Rerank): 0.4739 / 0.3551 / 0.7257
   - Normalized (Vec/BM25/Rerank):   0.0000 / 0.0000 / 0.0000</t>
  </si>
  <si>
    <t>&lt;highlight&gt;-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tử.&lt;/highlight&gt; Các chất này thiếu liên kết hydro và được bài tiết trực tiếp vào mật không cần chuyển hóa thêm.</t>
  </si>
  <si>
    <t>Gan và thận.</t>
  </si>
  <si>
    <t>Bilirubin được bài tiết ra ngoài bằng mật, gan và thận.</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</si>
  <si>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</si>
  <si>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</si>
  <si>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1. [Final Score: 0.5000]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 Unnormalized (Vec/BM25/Rerank): 0.6823 / 0.2490 / 0.7600
   - Normalized (Vec/BM25/Rerank):   1.0000 / 0.0000 / 0.0000
2. [Final Score: 0.5000]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
   - Unnormalized (Vec/BM25/Rerank): 0.6466 / 1.1527 / 0.8047
   - Normalized (Vec/BM25/Rerank):   0.0000 / 1.0000 / 1.0000</t>
  </si>
  <si>
    <t>&lt;highlight&gt;Bạn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gặp.&lt;/highlight&gt;</t>
  </si>
  <si>
    <t>Thoái hóa khớp háng là một vấn đề sức khỏe phổ biến khi mà lớp sụn giữa 2 đầu xương ở khớp háng bị bào mòn theo thời gian.</t>
  </si>
  <si>
    <t>Thoái hóa khớp háng là tình trạng khớp háng bị cứng, đau và khó cử động.</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</si>
  <si>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</si>
  <si>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</si>
  <si>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1. [Final Score: 1.0000]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
   - Unnormalized (Vec/BM25/Rerank): 0.8279 / 1.1834 / 0.8010
   - Normalized (Vec/BM25/Rerank):   1.0000 / 1.0000 / 1.0000
X2. [Final Score: 0.0000] - Bảo quản nơi khô ráo, thoáng mát và tránh ánh sáng trực tiếp từ mặt trời.
   - Unnormalized (Vec/BM25/Rerank): 0.4657 / 0.0000 / 0.6430
   - Normalized (Vec/BM25/Rerank):   0.0000 / 0.0000 / 0.0000</t>
  </si>
  <si>
    <t>Người dùng cần phải tuân theo chỉ định của bác sĩ, nhân viên y tế để đảm bảo an toàn và tránh trường hợp kháng kháng sinh.</t>
  </si>
  <si>
    <t>Người dùng cần lưu ý giữ thuốc xa tầm với của trẻ em và thú nuôi trong gia đình.</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</si>
  <si>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</si>
  <si>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</si>
  <si>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1.0000]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Unnormalized (Vec/BM25/Rerank): 0.7931 / 2.8404 / 0.8163
   - Normalized (Vec/BM25/Rerank):   1.0000 / 1.0000 / 1.0000
X2. [Final Score: 0.0000] - Cà chua.   Nhu cầu vitamin trung bình mỗi ngày của người lớn là:  - Vitamin B12: 2,4 micrograms.
- Folate và acid folic: 400 micrograms.
- Vitamin C: 75 – 90 mg.  Phụ nữ có thai và cho con bú có nhu cầu vitamin cao hơn.
   - Unnormalized (Vec/BM25/Rerank): 0.6330 / 0.0899 / 0.6617
   - Normalized (Vec/BM25/Rerank):   0.0000 / 0.0000 / 0.0000</t>
  </si>
  <si>
    <t xml:space="preserve"> &lt;highlight&gt;Hãy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chuông.&lt;/highlight&gt;
- Cà chua.   Nhu cầu vitamin trung bình mỗi ngày của người lớn là:  - Vitamin B12: 2,4 micrograms.
- Folate và acid folic: 400 micrograms.
-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</si>
  <si>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</si>
  <si>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Các loại thực phẩm giàu folate bao gồm: rau xanh, các loại rau màu xanh sậm, các loại hạt, bánh mì, ngũ cốc, mỳ pasta, cơm, trái cây và nước ép.</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</si>
  <si>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</si>
  <si>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</si>
  <si>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0.5000]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0.8095 / 0.8335 / 0.8541
   - Normalized (Vec/BM25/Rerank):   1.0000 / 0.0000 / 0.0000
2. [Final Score: 0.5000]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0.7684 / 1.7767 / 0.8957
   - Normalized (Vec/BM25/Rerank):   0.0000 / 1.0000 / 1.0000</t>
  </si>
  <si>
    <t>&lt;highlight&gt;Theo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</si>
  <si>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</si>
  <si>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làm giảm độ acid của dịch dạ dày khỉ, làm giảm nhu động ruột cô lập của thỏ, làm yếu sự co bóp của tim, có tác dụng giảm hoạt động tự nhiên của chuột thí nghiệm.</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</si>
  <si>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</si>
  <si>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</si>
  <si>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1. [Final Score: 1.0000]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 Unnormalized (Vec/BM25/Rerank): 0.8168 / 1.4743 / 0.8024
   - Normalized (Vec/BM25/Rerank):   1.0000 / 1.0000 / 1.0000
X2. [Final Score: 0.0000] Theo một thí nghiệm được thực hiện trên chuột, dịch chiết lá bàng tươi có khả năng kháng viêm. Người ta làm cho chuột bị phù tai cấp và mạn.
   - Unnormalized (Vec/BM25/Rerank): 0.7599 / 0.3581 / 0.7674
   - Normalized (Vec/BM25/Rerank):   0.0000 / 0.0000 / 0.0000</t>
  </si>
  <si>
    <t>Theo một thí nghiệm được thực hiện trên chuột, dịch chiết lá bàng tươi có khả năng kháng viêm. Người ta làm cho chuột bị phù tai cấp và mạn. &lt;highlight&gt;Sau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viêm.&lt;/highlight&gt;</t>
  </si>
  <si>
    <t>Lá bàng tươi có hiệu quả trong điều trị viêm, như đã được chứng minh trong thí nghiệm.</t>
  </si>
  <si>
    <t>Lá bàng tươi có công dụng kháng viêm.</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</si>
  <si>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</si>
  <si>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</si>
  <si>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1. [Final Score: 0.5000] -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Unnormalized (Vec/BM25/Rerank): 0.7465 / 0.6459 / 0.7354
   - Normalized (Vec/BM25/Rerank):   1.0000 / 0.0000 / 0.0000
2. [Final Score: 0.5000]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
   - Unnormalized (Vec/BM25/Rerank): 0.7423 / 1.2327 / 0.8161
   - Normalized (Vec/BM25/Rerank):   0.0000 / 1.0000 / 1.0000</t>
  </si>
  <si>
    <t>&lt;highlight&gt;-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thai.&lt;/highlight&gt;</t>
  </si>
  <si>
    <t>Xơ gan và viêm gan mạn.</t>
  </si>
  <si>
    <t>Nghệ trắng có tác dụng chữa các bệnh lý về gan như xơ gan, viêm gan mạn.</t>
  </si>
  <si>
    <t>Trường hợp nào cần phẫu thuật khi sử dụng Brodicef?</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</si>
  <si>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</si>
  <si>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1. [Final Score: 0.8000] Brodicef được chỉ định trong điều trị nhiễm khuẩn nhẹ tới trung bình do các chủng vi khuẩn nhạy cảm gây ra. Với đường hô hấp trên, thuốc điều trị:1 - Viêm amidan, viêm họng do Streptococcus pyogenes.
   - Unnormalized (Vec/BM25/Rerank): 0.8210 / 0.0995 / 0.7161
   - Normalized (Vec/BM25/Rerank):   1.0000 / 0.0000 / 1.0000
X2. [Final Score: 0.2000]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
   - Unnormalized (Vec/BM25/Rerank): 0.6936 / 1.3793 / 0.7153
   - Normalized (Vec/BM25/Rerank):   0.0000 / 1.0000 / 0.0000</t>
  </si>
  <si>
    <t>&lt;highlight&gt;Brodicef được chỉ định trong điều trị nhiễm khuẩn nhẹ tới trung bình do các chủng vi khuẩn nhạy cảm gây ra. Với đường hô hấp trên, thuốc điều trị:1 - Viêm amidan, viêm họng do Streptococcus pyogenes.&lt;/highlight&gt;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</si>
  <si>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Trong trường hợp bị áp-xe, có thể cần phẫu thuật.</t>
  </si>
  <si>
    <t>Trường hợp bị áp-xe có thể cần phẫu thuật khi sử dụng Brodicef.</t>
  </si>
  <si>
    <t>Lá dong có đặc tính gì?</t>
  </si>
  <si>
    <t>Lá cây dong có tác dụng thanh nhiệt, giải độc, làm mát máu và cầm máu. Hỗ trợ điều trị cảm mạo do lạnh và giai đoạn sốt.</t>
  </si>
  <si>
    <t>1. [Final Score: 1.0000] Lá cây dong có tác dụng thanh nhiệt, giải độc, làm mát máu và cầm máu. Hỗ trợ điều trị cảm mạo do lạnh và giai đoạn sốt.
   - Unnormalized (Vec/BM25/Rerank): 0.6508 / 0.3452 / 0.7746
   - Normalized (Vec/BM25/Rerank):   1.0000 / 1.0000 / 1.0000</t>
  </si>
  <si>
    <t>&lt;highlight&gt;Lá cây dong có tác dụng thanh nhiệt, giải độc, làm mát máu và cầm máu. Hỗ trợ điều trị cảm mạo do lạnh và giai đoạn sốt.&lt;/highlight&gt;</t>
  </si>
  <si>
    <t>Lá cây dong có tác dụng thanh nhiệt, giải độc, làm mát máu và cầm máu.</t>
  </si>
  <si>
    <t>Lá dong có tác dụng thanh nhiệt, giải độc, làm mát máu và cầm máu.</t>
  </si>
  <si>
    <t>Trong bài thuốc có chứa cây Giao, nguyên liệu cần chuẩn bị là gì?</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</si>
  <si>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</si>
  <si>
    <t>1. [Final Score: 1.0000] - Chuẩn bị: Mủ cây giao (nên dùng mủ mới, không nên để mủ lâu vì có thể giảm tác dụng điều trị).
- Thực hiện: Dùng tăm bông thoa mủ cây giao vùng nốt mụn cóc. Thực hiện 2 – 3 lần/ ngày.
   - Unnormalized (Vec/BM25/Rerank): 0.6620 / 1.3985 / 0.7861
   - Normalized (Vec/BM25/Rerank):   1.0000 / 1.0000 / 1.0000
X2. [Final Score: 0.0000] - Chú ý: Không nên dùng trên diện rộng, áp dụng khoảng 1 tuần sẽ thấy mụn thịt rơi ra. Nếu không có tiến triển, bạn nên đến bệnh viện để được tư vấn về cách loại bỏ mụn.
   - Unnormalized (Vec/BM25/Rerank): 0.5600 / 0.0743 / 0.7626
   - Normalized (Vec/BM25/Rerank):   0.0000 / 0.0000 / 0.0000</t>
  </si>
  <si>
    <t>&lt;highlight&gt;- Chuẩn bị: Mủ cây giao (nên dùng mủ mới, không nên để mủ lâu vì có thể giảm tác dụng điều trị).
- Thực hiện: Dùng tăm bông thoa mủ cây giao vùng nốt mụn cóc. Thực hiện 2 – 3 lần/ ngày.&lt;/highlight&gt;
- Chú ý: Không nên dùng trên diện rộng, áp dụng khoảng 1 tuần sẽ thấy mụn thịt rơi ra. Nếu không có tiến triển, bạn nên đến bệnh viện để được tư vấn về cách loại bỏ mụn.</t>
  </si>
  <si>
    <t>Mủ cây giao, nên dùng mủ mới tươi, tránh dùng mủ để lâu vì có thể giảm tác dụng điều trị.</t>
  </si>
  <si>
    <t>Mủ cây giao.</t>
  </si>
  <si>
    <t>Ngoài dị ứng với amoxicillin, còn có chống chỉ định nào khác đối với thuốc Clamoxyl 250 mg không?</t>
  </si>
  <si>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</si>
  <si>
    <t>1. [Final Score: 1.0000] Không nên cho bệnh nhân có tiền sử quá mẫn với các kháng sinh beta-lactam sử dụng (nhóm penicillin và cephalosporin). Không được dùng cho trường hợp dị ứng với amoxicillin hoặc bất cứ thành phần nào trong tá dược của thuốc.
   - Unnormalized (Vec/BM25/Rerank): 0.7504 / 1.1836 / 0.8210
   - Normalized (Vec/BM25/Rerank):   1.0000 / 1.0000 / 1.0000</t>
  </si>
  <si>
    <t>&lt;highlight&gt;Không nên cho bệnh nhân có tiền sử quá mẫn với các kháng sinh beta-lactam sử dụng (nhóm penicillin và cephalosporin). Không được dùng cho trường hợp dị ứng với amoxicillin hoặc bất cứ thành phần nào trong tá dược của thuốc.&lt;/highlight&gt;</t>
  </si>
  <si>
    <t>Clamoxyl 250 mg cũng không được dùng cho trường hợp dị ứng với bất cứ thành phần nào trong tá dược của thuốc.</t>
  </si>
  <si>
    <t>Không nên dùng cho trường hợp dị ứng với amoxicillin hoặc bất cứ thành phần nào trong tá dược của thuốc.</t>
  </si>
  <si>
    <t>Aspirin có những quy cách đóng gói nào?</t>
  </si>
  <si>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</si>
  <si>
    <t>1. [Final Score: 1.0000] Aspirin 81 mg quy cách đóng gói: 10 vỉ x 10 viên có giá: 170.000 VNĐ/hộp. Aspirin 100 mg quy cách đóng gói: hộp 3 vỉ x 10 viên có giá: 180.000 VNĐ/hộp. Lưu ý: Mức giá tham khảo, có thể thay đổi tuỳ thời điểm.
   - Unnormalized (Vec/BM25/Rerank): 0.8293 / 1.5899 / 0.8292
   - Normalized (Vec/BM25/Rerank):   1.0000 / 1.0000 / 1.0000
X2. [Final Score: 0.0000] Một số loại thuốc giảm đau khác có công dụng tương tự như Aspirin: Panadol Extra, Thuốc Tatanol.
   - Unnormalized (Vec/BM25/Rerank): 0.6747 / 0.1816 / 0.7677
   - Normalized (Vec/BM25/Rerank):   0.0000 / 0.0000 / 0.0000</t>
  </si>
  <si>
    <t>&lt;highlight&gt;Aspirin 81 mg quy cách đóng gói: 10 vỉ x 10 viên có giá: 170.000 VNĐ/hộp. Aspirin 100 mg quy cách đóng gói: hộp 3 vỉ x 10 viên có giá: 180.000 VNĐ/hộp. Lưu ý: Mức giá tham khảo, có thể thay đổi tuỳ thời điểm.&lt;/highlight&gt; Một số loại thuốc giảm đau khác có công dụng tương tự như Aspirin: Panadol Extra, Thuốc Tatanol.</t>
  </si>
  <si>
    <t>Aspirin có hai quy cách đóng gói: 10 vỉ x 10 viên và hộp 3 vỉ x 10 viên.</t>
  </si>
  <si>
    <t>Aspirin 81 mg quy cách đóng gói: 10 vỉ x 10 viên có giá: 170.000 VNĐ/hộp. Aspirin 100 mg quy cách đóng gói: hộp 3 vỉ x 10 viên có giá: 180.000 VNĐ/hộp.</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</si>
  <si>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</si>
  <si>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</si>
  <si>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1. [Final Score: 1.0000] 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 Unnormalized (Vec/BM25/Rerank): 0.8845 / 4.4393 / 0.8772
   - Normalized (Vec/BM25/Rerank):   1.0000 / 1.0000 / 1.0000
X2. [Final Score: 0.0000] Liệu có con số cụ thể nào để trả lời cho câu hỏi này? Mời bạn cùng YouMed tìm hiểu về vấn đề này qua bài viết Ung thư vòm họng sống được bao lâu? nhé!
   - Unnormalized (Vec/BM25/Rerank): 0.8157 / 0.5097 / 0.8020
   - Normalized (Vec/BM25/Rerank):   0.0000 / 0.0000 / 0.0000</t>
  </si>
  <si>
    <t>&lt;highlight&gt;Kết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nhân.&lt;/highlight&gt; Liệu có con số cụ thể nào để trả lời cho câu hỏi này? Mời bạn cùng YouMed tìm hiểu về vấn đề này qua bài viết Ung thư vòm họng sống được bao lâu? nhé!</t>
  </si>
  <si>
    <t>Tỷ lệ sống sót sau 5 năm khi điều trị bằng hóa trị là 58%.</t>
  </si>
  <si>
    <t>Tỷ lệ sống sót sau 5 năm khi điều trị ung thư vòm mũi họng bằng phương pháp hóa trị là 58%.</t>
  </si>
  <si>
    <t>Ngoài các tác dụng trên, Phòng phong còn có tác dụng nào khác?</t>
  </si>
  <si>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</si>
  <si>
    <t>1. [Final Score: 1.0000] Phòng phong chứa các tinh dầu bay hơi có tác dụng giảm sốt, chống viêm, giảm đau, chống co rút. Nước sắc Phòng phong có tác dụng ức chế tụ cầu vàng, trực khuẩn mủ xanh, trực khuẩn lỵ, liên cầu khuẩn.
   - Unnormalized (Vec/BM25/Rerank): 0.8315 / 1.3985 / 0.8473
   - Normalized (Vec/BM25/Rerank):   1.0000 / 1.0000 / 1.0000
X2. [Final Score: 0.0000] Ngoài ra thuốc còn có tác dụng chống dị ứng và nâng cao miễn dịch của cơ thể.
   - Unnormalized (Vec/BM25/Rerank): 0.5315 / 1.1209 / 0.8116
   - Normalized (Vec/BM25/Rerank):   0.0000 / 0.0000 / 0.0000</t>
  </si>
  <si>
    <t>&lt;highlight&gt;Phòng phong chứa các tinh dầu bay hơi có tác dụng giảm sốt, chống viêm, giảm đau, chống co rút. Nước sắc Phòng phong có tác dụng ức chế tụ cầu vàng, trực khuẩn mủ xanh, trực khuẩn lỵ, liên cầu khuẩn.&lt;/highlight&gt; Ngoài ra thuốc còn có tác dụng chống dị ứng và nâng cao miễn dịch của cơ thể.</t>
  </si>
  <si>
    <t>Phòng phong còn có tác dụng chống dị ứng và nâng cao miễn dịch của cơ thể.</t>
  </si>
  <si>
    <t>Ngoài các tác dụng trên, Phòng phong còn có tác dụng chống dị ứng và nâng cao miễn dịch của cơ thể.</t>
  </si>
  <si>
    <t>Mục đích của việc xét nghiệm dịch trong u nang biểu bì khi bị nhiễm trùng là gì?</t>
  </si>
  <si>
    <t>Xét nghiệm dịch trong u nang thường không cần thiết. Tuy nhiên, với nhiễm trùng tái phát hoặc không đáp ứng với kháng sinh, mẫu dịch lấy để nuôi cấy vi khuẩn và thử kháng sinh đồ.</t>
  </si>
  <si>
    <t>1. [Final Score: 1.0000] Xét nghiệm dịch trong u nang thường không cần thiết. Tuy nhiên, với nhiễm trùng tái phát hoặc không đáp ứng với kháng sinh, mẫu dịch lấy để nuôi cấy vi khuẩn và thử kháng sinh đồ.
   - Unnormalized (Vec/BM25/Rerank): 0.8467 / 0.8548 / 0.8245
   - Normalized (Vec/BM25/Rerank):   1.0000 / 1.0000 / 1.0000</t>
  </si>
  <si>
    <t>&lt;highlight&gt;Xét nghiệm dịch trong u nang thường không cần thiết. Tuy nhiên, với nhiễm trùng tái phát hoặc không đáp ứng với kháng sinh, mẫu dịch lấy để nuôi cấy vi khuẩn và thử kháng sinh đồ.&lt;/highlight&gt;</t>
  </si>
  <si>
    <t>Nuôi cấy vi khuẩn và thử kháng sinh đồ để xác định loại vi khuẩn gây nhiễm trùng và lựa chọn kháng sinh phù hợp.</t>
  </si>
  <si>
    <t>Xét nghiệm dịch trong u nang biểu bì khi bị nhiễm trùng nhằm mục đích để tìm kiếm các vi khuẩn có khả năng gây bệnh.</t>
  </si>
  <si>
    <t>Tim của người bệnh cường giáp có biểu hiện gì?</t>
  </si>
  <si>
    <t>Tim đập nhanh, mạnh trong lồng ngực. Người bệnh thường xuyên cảm thấy hồi hộp, có thể đau ngực, khó thở.</t>
  </si>
  <si>
    <t>1. [Final Score: 1.0000] Tim đập nhanh, mạnh trong lồng ngực. Người bệnh thường xuyên cảm thấy hồi hộp, có thể đau ngực, khó thở.
   - Unnormalized (Vec/BM25/Rerank): 0.6432 / 0.4603 / 0.7709
   - Normalized (Vec/BM25/Rerank):   1.0000 / 1.0000 / 1.0000</t>
  </si>
  <si>
    <t>&lt;highlight&gt;Tim đập nhanh, mạnh trong lồng ngực. Người bệnh thường xuyên cảm thấy hồi hộp, có thể đau ngực, khó thở.&lt;/highlight&gt;</t>
  </si>
  <si>
    <t>Tim đập nhanh, mạnh trong lồng ngực.</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</si>
  <si>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</si>
  <si>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</si>
  <si>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1. [Final Score: 1.0000] 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 Unnormalized (Vec/BM25/Rerank): 0.8566 / 6.2127 / 0.8491
   - Normalized (Vec/BM25/Rerank):   1.0000 / 1.0000 / 1.0000
X2. [Final Score: 0.0000]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
   - Unnormalized (Vec/BM25/Rerank): 0.5519 / 0.3486 / 0.7612
   - Normalized (Vec/BM25/Rerank):   0.0000 / 0.0000 / 0.0000</t>
  </si>
  <si>
    <t>&lt;highlight&gt;Tăng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2.&lt;/highlight&gt;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</si>
  <si>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Ở thể mất muối của tăng sản thượng thận bẩm sinh, tuyến thượng thận sản xuất quá ít aldosterone.</t>
  </si>
  <si>
    <t>Aldosterone.</t>
  </si>
  <si>
    <t>Cây lá gai có thể gây ra tác dụng gì khi sử dụng tươi?</t>
  </si>
  <si>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</si>
  <si>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 Unnormalized (Vec/BM25/Rerank): 0.8230 / 3.0512 / 0.8745
   - Normalized (Vec/BM25/Rerank):   1.0000 / 1.0000 / 1.0000
X2. [Final Score: 0.0000]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0.5307 / 0.8504 / 0.7555
   - Normalized (Vec/BM25/Rerank):   0.0000 / 0.0000 / 0.0000</t>
  </si>
  <si>
    <t>&lt;highlight&gt;-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gian.&lt;/highlight&gt;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</si>
  <si>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Cây lá gai có thể gây ngứa khi sử dụng tươi, tuy nhiên khi luộc chín hoặc nấu canh, thảo dược không còn ngứa và có thể dùng ăn như một loại rau.</t>
  </si>
  <si>
    <t>Khi sử dụng cây lá gai tươi, có thể gây ra ngứa.</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</si>
  <si>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</si>
  <si>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</si>
  <si>
    <t>1. [Final Score: 1.0000]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
   - Unnormalized (Vec/BM25/Rerank): 0.8376 / 1.2419 / 0.8429
   - Normalized (Vec/BM25/Rerank):   1.0000 / 1.0000 / 1.0000
X2. [Final Score: 0.0000] Như đã biết, xương mác và xương chày là hai xương cấu tạo nên cẳng chân. Xương chày là xương to hơn và chịu trọng lực cơ thể. Còn xương mác tuy là xương nhỏ hơn, nhưng cũng có những vai trò riêng của nó.
   - Unnormalized (Vec/BM25/Rerank): 0.6201 / 0.8669 / 0.8354
   - Normalized (Vec/BM25/Rerank):   0.0000 / 0.0000 / 0.0000</t>
  </si>
  <si>
    <t>Như đã biết, xương mác và xương chày là hai xương cấu tạo nên cẳng chân. Xương chày là xương to hơn và chịu trọng lực cơ thể. Còn xương mác tuy là xương nhỏ hơn, nhưng cũng có những vai trò riêng của nó. &lt;highlight&gt;-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hoạt.&lt;/highlight&gt;</t>
  </si>
  <si>
    <t>Xương mác hợp với xương chày tạo nên thế đứng thẳng cho chân.</t>
  </si>
  <si>
    <t>Xương mác hợp với xương chày tạo thế đứng thẳng cho chân.</t>
  </si>
  <si>
    <t>Extract_EN_Answer</t>
  </si>
  <si>
    <t>Extract_EN_Avg-Score</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</si>
  <si>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</si>
  <si>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Rối loạn phân ly hình thành do các sang chấn tâm lý, lạm dụng thể xác, tình dục hoặc cảm xúc lâu dài, căng thẳng của chiến tranh hoặc thiên tai, nhận dạng cá nhân trong thời thơ ấu.</t>
  </si>
  <si>
    <t>Chứng ngưng thở khi ngủ gây ra các hậu quả như mất ngủ, mệt mỏi, ảnh hưởng lớn đến học tập và làm việc.</t>
  </si>
  <si>
    <t>Thuốc có thể tương tác với nhóm thuốc tim mạch khác như Verapamil, Digoxin, Thuốc an thần, gây nghiện, Thuốc giảm đau kháng viêm như Aspirin, Ibuprofen, Naproxen, Colestipol hoặc Cholestyramin, Thuốc tiểu đường, insulin.</t>
  </si>
  <si>
    <t>Nẹp cố định chân gãy có thể làm ảnh hưởng tới khả năng chịu trọng lực của chân, do đó cần sử dụng nạng hỗ trợ để tăng tính vững cho việc cố định xương gãy.</t>
  </si>
  <si>
    <t>Bác sĩ cần chụp X-quang kích thích khi phát hiện ra các vấn đề về mắt cá mà không thấy được khi chụp X-quang thông thường.</t>
  </si>
  <si>
    <t>Nút mạch máu nuôi khối u là thủ thuật dùng để tiêu diệt các tế bào ung thư bằng cách bơm những hạt nhỏ kèm chất phóng xạ hay hóa chất gây tắc các mạch máu nuôi khối u và gây chết các tế bào ung thư.</t>
  </si>
  <si>
    <t>Răng nanh được đặt tên cho giống với răng tương tự của loài chó, tuy nhiên răng của con người không dài, nhọn hoặc sắc như răng tương đương trong miệng chó.</t>
  </si>
  <si>
    <t>Đan sâm có tác dụng làm tăng sự điều hòa mạch máu phụ thuộc vào nội mô và biểu hiện sự bảo vệ mạch máu ở những con chuột thí nghiệm.</t>
  </si>
  <si>
    <t>Ở Việt Nam, Hoàng nàn phân bố ở các tỉnh Tuyên Quang, Vĩnh Phú, Sơn La, Hoà Bình…</t>
  </si>
  <si>
    <t>Bilirubin được bài tiết ra ngoài bằng mật, ruột và thận.</t>
  </si>
  <si>
    <t>Khi sử dụng Cefurich, người dùng cần lưu ý không lạm dụng hoặc tự ý dùng thuốc khi chưa có hướng dẫn của nhân viên y tế.</t>
  </si>
  <si>
    <t>Các loại thực phẩm giàu folate bao gồm: rau xanh, các loại hạt, bánh mì, ngũ cốc, mỳ pasta, cơm.</t>
  </si>
  <si>
    <t>Các bệnh lý về gan mà Nghệ trắng giúp chữa trị là xơ gan, viêm gan mạn.</t>
  </si>
  <si>
    <t>Không được dùng cho trường hợp dị ứng với amoxicillin hoặc bất cứ thành phần nào trong tá dược của thuốc.</t>
  </si>
  <si>
    <t>Xét nghiệm dịch trong u nang biểu bì khi bị nhiễm trùng nhằm mục đích để tìm kiếm vi khuẩn gây bệnh.</t>
  </si>
  <si>
    <t>Khi sử dụng cây lá gai tươi, nó có thể gây ra ngứa.</t>
  </si>
  <si>
    <t>Avg score difference</t>
  </si>
  <si>
    <r>
      <t xml:space="preserve">Ở Việt Nam, </t>
    </r>
    <r>
      <rPr>
        <b/>
        <sz val="11"/>
        <color theme="1"/>
        <rFont val="Arial"/>
        <family val="2"/>
        <scheme val="minor"/>
      </rPr>
      <t>Hoàng nàn phân bố ở những vùng nào</t>
    </r>
    <r>
      <rPr>
        <sz val="11"/>
        <color theme="1"/>
        <rFont val="Arial"/>
        <family val="2"/>
        <scheme val="minor"/>
      </rPr>
      <t>?</t>
    </r>
  </si>
  <si>
    <t>Các phương pháp kiểm tra phổ biến bao gồm:1 2 - Khám sức khỏe: Khám khớp mắt cá của các bác sĩ chuyên khoa có thể xác định xem xương mắt cá có bị gãy, bong gân hay bất thường khác hay không.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&lt;highlight&gt;Điều này có thể phát hiện ra các vấn đề về mắt cá mà không thấy được khi chụp X-quang thông thường.&lt;/highlight&gt;
Chụp cộng hưởng từ (chụp MRI): Máy chụp MRI sử dụng nam châm công suất cao và máy tính để tạo ra hình ảnh có độ phân giải cao của mắt cá.</t>
  </si>
  <si>
    <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&lt;highlight&gt;Giữ bột trong khoảng 8-10 tuần.&lt;/highlight&gt;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&lt;highlight&gt;Chân gãy trong thời gian bó bột không chịu được trọng lực như chân lành. Vì vậy bệnh nhân cần sử dụng nạng hỗ trợ.&lt;highlight&gt;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t>
  </si>
  <si>
    <t>.- Bảo quản nơi khô ráo, thoáng mát và tránh ánh sáng trực tiếp từ mặt trời.
&lt;highlight&gt;-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sinh.&lt;/highlight&gt;</t>
  </si>
  <si>
    <t xml:space="preserve"> -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&lt;highlight&gt;Không lạm dụng hay tự ý dùng Cefurich khi chưa có hướng dẫn của nhân viên y tế. Bạn đọc và gia đình nên tuân theo chỉ định của bác sĩ, nhân viên y tế để đảm bảo an toàn và tránh trường hợp kháng kháng sinh.&lt;/highlight&gt;</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</si>
  <si>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&lt;highlight&gt;Nút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thư.&lt;/highlight&gt;6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</si>
  <si>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&lt;highlight&gt;Không nên cho bệnh nhân có tiền sử quá mẫn với các kháng sinh beta-lactam sử dụng (nhóm penicillin và cephalosporin).&lt;/highlight&gt; Không được dùng cho trường hợp dị ứng với amoxicillin hoặc &lt;highlight&gt;bất cứ thành phần nào trong tá dược của thuốc.&lt;/highlight&gt;</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</si>
  <si>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&lt;highlight&gt;nếu ngưng thở nghiêm trọng, sẽ liên quan đến các vấn đề tim mạch. Ví dụ tăng huyết áp, nguy cơ nhồi máu cơ tim…&lt;/highlight&gt; Ngáy ngủ làm gián đoạn hô hấp gây thức giấc. &lt;highlight&gt;Chúng dẫn đến tình trạng mất ngủ và mệt mỏi, ảnh hưởng lớn đến học tập và làm việc.&lt;/highlight&gt;</t>
  </si>
  <si>
    <t>&lt;highlight&gt;- Cây lá gai có thể gây ngứa khi dùng tươi&lt;/highlight&gt;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</si>
</sst>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ont>
    <font>
      <b/>
      <sz val="11"/>
      <color theme="1"/>
      <name val="Arial"/>
      <family val="2"/>
      <scheme val="minor"/>
    </font>
    <font>
      <sz val="8"/>
      <color theme="1"/>
      <name val="Arial"/>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0" fillId="2" borderId="0" xfId="0" applyFill="1" applyAlignment="1">
      <alignment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51"/>
  <sheetViews>
    <sheetView tabSelected="1" topLeftCell="E17" zoomScale="184" zoomScaleNormal="184" workbookViewId="0">
      <selection activeCell="F20" sqref="F20"/>
    </sheetView>
  </sheetViews>
  <sheetFormatPr defaultRowHeight="14" x14ac:dyDescent="0.3"/>
  <cols>
    <col min="4" max="4" width="72.9140625" style="2" customWidth="1"/>
    <col min="5" max="6" width="67.6640625" style="2" customWidth="1"/>
    <col min="10" max="13" width="0" hidden="1" customWidth="1"/>
  </cols>
  <sheetData>
    <row r="1" spans="1:17" x14ac:dyDescent="0.3">
      <c r="A1" s="1" t="s">
        <v>0</v>
      </c>
      <c r="B1" s="1" t="s">
        <v>1</v>
      </c>
      <c r="C1" s="1" t="s">
        <v>2</v>
      </c>
      <c r="D1" s="3" t="s">
        <v>3</v>
      </c>
      <c r="E1" s="3" t="s">
        <v>4</v>
      </c>
      <c r="F1" s="3"/>
      <c r="G1" s="1" t="s">
        <v>5</v>
      </c>
      <c r="H1" s="1" t="s">
        <v>6</v>
      </c>
      <c r="I1" s="1" t="s">
        <v>7</v>
      </c>
      <c r="J1" s="1" t="s">
        <v>8</v>
      </c>
      <c r="K1" s="1" t="s">
        <v>9</v>
      </c>
      <c r="L1" s="1" t="s">
        <v>10</v>
      </c>
      <c r="M1" s="1" t="s">
        <v>11</v>
      </c>
      <c r="O1" t="s">
        <v>308</v>
      </c>
      <c r="P1" t="s">
        <v>309</v>
      </c>
      <c r="Q1" t="s">
        <v>327</v>
      </c>
    </row>
    <row r="2" spans="1:17" hidden="1" x14ac:dyDescent="0.3">
      <c r="A2">
        <v>0</v>
      </c>
      <c r="B2" t="s">
        <v>12</v>
      </c>
      <c r="C2" t="s">
        <v>13</v>
      </c>
      <c r="D2" t="s">
        <v>14</v>
      </c>
      <c r="E2" t="s">
        <v>15</v>
      </c>
      <c r="F2"/>
      <c r="G2" t="s">
        <v>16</v>
      </c>
      <c r="H2" t="s">
        <v>17</v>
      </c>
      <c r="I2">
        <v>0.84940000000000004</v>
      </c>
      <c r="J2">
        <v>0.92059999999999997</v>
      </c>
      <c r="K2">
        <v>0.72750000000000004</v>
      </c>
      <c r="L2">
        <v>0.79759999999999998</v>
      </c>
      <c r="M2">
        <v>0.95169999999999999</v>
      </c>
      <c r="O2" t="s">
        <v>17</v>
      </c>
      <c r="P2">
        <v>0.84940000000000004</v>
      </c>
      <c r="Q2">
        <f>I2-P2</f>
        <v>0</v>
      </c>
    </row>
    <row r="3" spans="1:17" hidden="1" x14ac:dyDescent="0.3">
      <c r="A3">
        <v>1</v>
      </c>
      <c r="B3" t="s">
        <v>18</v>
      </c>
      <c r="C3" t="s">
        <v>19</v>
      </c>
      <c r="D3" t="s">
        <v>20</v>
      </c>
      <c r="E3" t="s">
        <v>21</v>
      </c>
      <c r="F3"/>
      <c r="G3" t="s">
        <v>22</v>
      </c>
      <c r="H3" t="s">
        <v>23</v>
      </c>
      <c r="I3">
        <v>0.92030000000000001</v>
      </c>
      <c r="J3">
        <v>0.96879999999999999</v>
      </c>
      <c r="K3">
        <v>0.82569999999999999</v>
      </c>
      <c r="L3">
        <v>0.91700000000000004</v>
      </c>
      <c r="M3">
        <v>0.96960000000000002</v>
      </c>
      <c r="O3" t="s">
        <v>23</v>
      </c>
      <c r="P3">
        <v>0.92030000000000001</v>
      </c>
      <c r="Q3">
        <f t="shared" ref="Q3:Q51" si="0">I3-P3</f>
        <v>0</v>
      </c>
    </row>
    <row r="4" spans="1:17" ht="409.5" x14ac:dyDescent="0.3">
      <c r="A4">
        <v>18</v>
      </c>
      <c r="B4" s="5" t="s">
        <v>119</v>
      </c>
      <c r="C4" s="2" t="s">
        <v>120</v>
      </c>
      <c r="D4" s="2" t="s">
        <v>121</v>
      </c>
      <c r="E4" s="2" t="s">
        <v>122</v>
      </c>
      <c r="F4" s="2" t="s">
        <v>329</v>
      </c>
      <c r="G4" t="s">
        <v>123</v>
      </c>
      <c r="H4" t="s">
        <v>124</v>
      </c>
      <c r="I4">
        <v>0.56989999999999996</v>
      </c>
      <c r="J4">
        <v>0.56469999999999998</v>
      </c>
      <c r="K4">
        <v>0.32669999999999999</v>
      </c>
      <c r="L4">
        <v>0.52059999999999995</v>
      </c>
      <c r="M4">
        <v>0.86750000000000005</v>
      </c>
      <c r="O4" t="s">
        <v>315</v>
      </c>
      <c r="P4">
        <v>0.96030000000000004</v>
      </c>
      <c r="Q4">
        <f t="shared" ref="Q4:Q50" si="1">I4-P4</f>
        <v>-0.39040000000000008</v>
      </c>
    </row>
    <row r="5" spans="1:17" hidden="1" x14ac:dyDescent="0.3">
      <c r="A5">
        <v>3</v>
      </c>
      <c r="B5" t="s">
        <v>30</v>
      </c>
      <c r="C5" t="s">
        <v>31</v>
      </c>
      <c r="D5" t="s">
        <v>32</v>
      </c>
      <c r="E5" t="s">
        <v>33</v>
      </c>
      <c r="F5"/>
      <c r="G5" t="s">
        <v>34</v>
      </c>
      <c r="H5" t="s">
        <v>35</v>
      </c>
      <c r="I5">
        <v>0.80940000000000001</v>
      </c>
      <c r="J5">
        <v>0.83640000000000003</v>
      </c>
      <c r="K5">
        <v>0.66610000000000003</v>
      </c>
      <c r="L5">
        <v>0.79010000000000002</v>
      </c>
      <c r="M5">
        <v>0.94510000000000005</v>
      </c>
      <c r="O5" t="s">
        <v>35</v>
      </c>
      <c r="P5">
        <v>0.80940000000000001</v>
      </c>
      <c r="Q5">
        <f t="shared" si="1"/>
        <v>0</v>
      </c>
    </row>
    <row r="6" spans="1:17" hidden="1" x14ac:dyDescent="0.3">
      <c r="A6">
        <v>4</v>
      </c>
      <c r="B6" t="s">
        <v>36</v>
      </c>
      <c r="C6" t="s">
        <v>37</v>
      </c>
      <c r="D6" t="s">
        <v>38</v>
      </c>
      <c r="E6" t="s">
        <v>39</v>
      </c>
      <c r="F6"/>
      <c r="G6" t="s">
        <v>40</v>
      </c>
      <c r="H6" t="s">
        <v>41</v>
      </c>
      <c r="I6">
        <v>0.92669999999999997</v>
      </c>
      <c r="J6">
        <v>0.95379999999999998</v>
      </c>
      <c r="K6">
        <v>0.84670000000000001</v>
      </c>
      <c r="L6">
        <v>0.91969999999999996</v>
      </c>
      <c r="M6">
        <v>0.98650000000000004</v>
      </c>
      <c r="O6" t="s">
        <v>41</v>
      </c>
      <c r="P6">
        <v>0.92669999999999997</v>
      </c>
      <c r="Q6">
        <f t="shared" si="1"/>
        <v>0</v>
      </c>
    </row>
    <row r="7" spans="1:17" hidden="1" x14ac:dyDescent="0.3">
      <c r="A7">
        <v>5</v>
      </c>
      <c r="B7" t="s">
        <v>42</v>
      </c>
      <c r="C7" t="s">
        <v>43</v>
      </c>
      <c r="D7" t="s">
        <v>44</v>
      </c>
      <c r="E7" t="s">
        <v>45</v>
      </c>
      <c r="F7"/>
      <c r="G7" t="s">
        <v>46</v>
      </c>
      <c r="H7" t="s">
        <v>47</v>
      </c>
      <c r="I7">
        <v>0.7974</v>
      </c>
      <c r="J7">
        <v>0.78</v>
      </c>
      <c r="K7">
        <v>0.63980000000000004</v>
      </c>
      <c r="L7">
        <v>0.83289999999999997</v>
      </c>
      <c r="M7">
        <v>0.93689999999999996</v>
      </c>
      <c r="O7" t="s">
        <v>47</v>
      </c>
      <c r="P7">
        <v>0.7974</v>
      </c>
      <c r="Q7">
        <f t="shared" si="1"/>
        <v>0</v>
      </c>
    </row>
    <row r="8" spans="1:17" hidden="1" x14ac:dyDescent="0.3">
      <c r="A8">
        <v>6</v>
      </c>
      <c r="B8" t="s">
        <v>48</v>
      </c>
      <c r="C8" t="s">
        <v>49</v>
      </c>
      <c r="D8" t="s">
        <v>50</v>
      </c>
      <c r="E8" t="s">
        <v>51</v>
      </c>
      <c r="F8"/>
      <c r="G8" t="s">
        <v>52</v>
      </c>
      <c r="H8" t="s">
        <v>53</v>
      </c>
      <c r="I8">
        <v>0.45540000000000003</v>
      </c>
      <c r="J8">
        <v>0.375</v>
      </c>
      <c r="K8">
        <v>0</v>
      </c>
      <c r="L8">
        <v>0.65790000000000004</v>
      </c>
      <c r="M8">
        <v>0.78890000000000005</v>
      </c>
      <c r="O8" t="s">
        <v>53</v>
      </c>
      <c r="P8">
        <v>0.45540000000000003</v>
      </c>
      <c r="Q8">
        <f t="shared" si="1"/>
        <v>0</v>
      </c>
    </row>
    <row r="9" spans="1:17" hidden="1" x14ac:dyDescent="0.3">
      <c r="A9">
        <v>7</v>
      </c>
      <c r="B9" t="s">
        <v>54</v>
      </c>
      <c r="C9" t="s">
        <v>55</v>
      </c>
      <c r="D9" t="s">
        <v>56</v>
      </c>
      <c r="E9" t="s">
        <v>57</v>
      </c>
      <c r="F9"/>
      <c r="G9" t="s">
        <v>58</v>
      </c>
      <c r="H9" t="s">
        <v>59</v>
      </c>
      <c r="I9">
        <v>0.82250000000000001</v>
      </c>
      <c r="J9">
        <v>0.8095</v>
      </c>
      <c r="K9">
        <v>0.67210000000000003</v>
      </c>
      <c r="L9">
        <v>0.84379999999999999</v>
      </c>
      <c r="M9">
        <v>0.96460000000000001</v>
      </c>
      <c r="O9" t="s">
        <v>59</v>
      </c>
      <c r="P9">
        <v>0.82250000000000001</v>
      </c>
      <c r="Q9">
        <f t="shared" si="1"/>
        <v>0</v>
      </c>
    </row>
    <row r="10" spans="1:17" hidden="1" x14ac:dyDescent="0.3">
      <c r="A10">
        <v>8</v>
      </c>
      <c r="B10" t="s">
        <v>60</v>
      </c>
      <c r="C10" t="s">
        <v>61</v>
      </c>
      <c r="D10" t="s">
        <v>62</v>
      </c>
      <c r="E10" t="s">
        <v>63</v>
      </c>
      <c r="F10"/>
      <c r="G10" t="s">
        <v>64</v>
      </c>
      <c r="H10" t="s">
        <v>64</v>
      </c>
      <c r="I10">
        <v>1</v>
      </c>
      <c r="J10">
        <v>1</v>
      </c>
      <c r="K10">
        <v>1</v>
      </c>
      <c r="L10">
        <v>1</v>
      </c>
      <c r="M10">
        <v>1</v>
      </c>
      <c r="O10" t="s">
        <v>64</v>
      </c>
      <c r="P10">
        <v>1</v>
      </c>
      <c r="Q10">
        <f t="shared" si="1"/>
        <v>0</v>
      </c>
    </row>
    <row r="11" spans="1:17" hidden="1" x14ac:dyDescent="0.3">
      <c r="A11">
        <v>9</v>
      </c>
      <c r="B11" t="s">
        <v>65</v>
      </c>
      <c r="C11" t="s">
        <v>66</v>
      </c>
      <c r="D11" t="s">
        <v>67</v>
      </c>
      <c r="E11" t="s">
        <v>68</v>
      </c>
      <c r="F11"/>
      <c r="G11" t="s">
        <v>69</v>
      </c>
      <c r="H11" t="s">
        <v>70</v>
      </c>
      <c r="I11">
        <v>0.36130000000000001</v>
      </c>
      <c r="J11">
        <v>0.30769999999999997</v>
      </c>
      <c r="K11">
        <v>0</v>
      </c>
      <c r="L11">
        <v>0.38719999999999999</v>
      </c>
      <c r="M11">
        <v>0.75019999999999998</v>
      </c>
      <c r="O11" t="s">
        <v>70</v>
      </c>
      <c r="P11">
        <v>0.36130000000000001</v>
      </c>
      <c r="Q11">
        <f t="shared" si="1"/>
        <v>0</v>
      </c>
    </row>
    <row r="12" spans="1:17" hidden="1" x14ac:dyDescent="0.3">
      <c r="A12">
        <v>10</v>
      </c>
      <c r="B12" t="s">
        <v>71</v>
      </c>
      <c r="C12" t="s">
        <v>72</v>
      </c>
      <c r="D12" t="s">
        <v>73</v>
      </c>
      <c r="E12" t="s">
        <v>74</v>
      </c>
      <c r="F12"/>
      <c r="G12" t="s">
        <v>75</v>
      </c>
      <c r="H12" t="s">
        <v>76</v>
      </c>
      <c r="I12">
        <v>0.57809999999999995</v>
      </c>
      <c r="J12">
        <v>0.62160000000000004</v>
      </c>
      <c r="K12">
        <v>0.31969999999999998</v>
      </c>
      <c r="L12">
        <v>0.52239999999999998</v>
      </c>
      <c r="M12">
        <v>0.8488</v>
      </c>
      <c r="O12" t="s">
        <v>76</v>
      </c>
      <c r="P12">
        <v>0.57809999999999995</v>
      </c>
      <c r="Q12">
        <f t="shared" si="1"/>
        <v>0</v>
      </c>
    </row>
    <row r="13" spans="1:17" ht="409.5" x14ac:dyDescent="0.3">
      <c r="A13">
        <v>16</v>
      </c>
      <c r="B13" t="s">
        <v>107</v>
      </c>
      <c r="C13" t="s">
        <v>108</v>
      </c>
      <c r="D13" s="2" t="s">
        <v>109</v>
      </c>
      <c r="E13" s="6" t="s">
        <v>110</v>
      </c>
      <c r="F13" s="6" t="s">
        <v>330</v>
      </c>
      <c r="G13" t="s">
        <v>111</v>
      </c>
      <c r="H13" t="s">
        <v>112</v>
      </c>
      <c r="I13">
        <v>0.36749999999999999</v>
      </c>
      <c r="J13">
        <v>0.42859999999999998</v>
      </c>
      <c r="K13">
        <v>0</v>
      </c>
      <c r="L13">
        <v>0.28339999999999999</v>
      </c>
      <c r="M13">
        <v>0.75790000000000002</v>
      </c>
      <c r="O13" t="s">
        <v>314</v>
      </c>
      <c r="P13">
        <v>0.46600000000000003</v>
      </c>
      <c r="Q13">
        <f t="shared" si="1"/>
        <v>-9.8500000000000032E-2</v>
      </c>
    </row>
    <row r="14" spans="1:17" hidden="1" x14ac:dyDescent="0.3">
      <c r="A14">
        <v>12</v>
      </c>
      <c r="B14" t="s">
        <v>83</v>
      </c>
      <c r="C14" t="s">
        <v>84</v>
      </c>
      <c r="D14" t="s">
        <v>85</v>
      </c>
      <c r="E14" t="s">
        <v>86</v>
      </c>
      <c r="F14"/>
      <c r="G14" t="s">
        <v>87</v>
      </c>
      <c r="H14" t="s">
        <v>88</v>
      </c>
      <c r="I14">
        <v>0.7984</v>
      </c>
      <c r="J14">
        <v>0.79520000000000002</v>
      </c>
      <c r="K14">
        <v>0.5948</v>
      </c>
      <c r="L14">
        <v>0.91220000000000001</v>
      </c>
      <c r="M14">
        <v>0.89119999999999999</v>
      </c>
      <c r="O14" t="s">
        <v>88</v>
      </c>
      <c r="P14">
        <v>0.7984</v>
      </c>
      <c r="Q14">
        <f t="shared" si="1"/>
        <v>0</v>
      </c>
    </row>
    <row r="15" spans="1:17" hidden="1" x14ac:dyDescent="0.3">
      <c r="A15">
        <v>13</v>
      </c>
      <c r="B15" t="s">
        <v>89</v>
      </c>
      <c r="C15" t="s">
        <v>90</v>
      </c>
      <c r="D15" t="s">
        <v>91</v>
      </c>
      <c r="E15" t="s">
        <v>92</v>
      </c>
      <c r="F15"/>
      <c r="G15" t="s">
        <v>93</v>
      </c>
      <c r="H15" t="s">
        <v>94</v>
      </c>
      <c r="I15">
        <v>0.59089999999999998</v>
      </c>
      <c r="J15">
        <v>0.51690000000000003</v>
      </c>
      <c r="K15">
        <v>0.27089999999999997</v>
      </c>
      <c r="L15">
        <v>0.72419999999999995</v>
      </c>
      <c r="M15">
        <v>0.85160000000000002</v>
      </c>
      <c r="O15" t="s">
        <v>94</v>
      </c>
      <c r="P15">
        <v>0.59089999999999998</v>
      </c>
      <c r="Q15">
        <f t="shared" si="1"/>
        <v>0</v>
      </c>
    </row>
    <row r="16" spans="1:17" ht="154" x14ac:dyDescent="0.3">
      <c r="A16">
        <v>33</v>
      </c>
      <c r="B16" t="s">
        <v>208</v>
      </c>
      <c r="C16" t="s">
        <v>209</v>
      </c>
      <c r="D16" s="2" t="s">
        <v>210</v>
      </c>
      <c r="E16" s="2" t="s">
        <v>331</v>
      </c>
      <c r="F16" s="2" t="s">
        <v>332</v>
      </c>
      <c r="G16" t="s">
        <v>211</v>
      </c>
      <c r="H16" t="s">
        <v>212</v>
      </c>
      <c r="I16">
        <v>0.3221</v>
      </c>
      <c r="J16">
        <v>0.3478</v>
      </c>
      <c r="K16">
        <v>0</v>
      </c>
      <c r="L16">
        <v>0.18190000000000001</v>
      </c>
      <c r="M16">
        <v>0.75870000000000004</v>
      </c>
      <c r="O16" t="s">
        <v>321</v>
      </c>
      <c r="P16">
        <v>0.37819999999999998</v>
      </c>
      <c r="Q16">
        <f t="shared" si="1"/>
        <v>-5.6099999999999983E-2</v>
      </c>
    </row>
    <row r="17" spans="1:17" ht="364" x14ac:dyDescent="0.3">
      <c r="A17">
        <v>19</v>
      </c>
      <c r="B17" t="s">
        <v>125</v>
      </c>
      <c r="C17" t="s">
        <v>126</v>
      </c>
      <c r="D17" s="2" t="s">
        <v>127</v>
      </c>
      <c r="E17" s="2" t="s">
        <v>128</v>
      </c>
      <c r="F17" s="2" t="s">
        <v>333</v>
      </c>
      <c r="G17" t="s">
        <v>129</v>
      </c>
      <c r="H17" t="s">
        <v>130</v>
      </c>
      <c r="I17">
        <v>0.63429999999999997</v>
      </c>
      <c r="J17">
        <v>0.73260000000000003</v>
      </c>
      <c r="K17">
        <v>0.37980000000000003</v>
      </c>
      <c r="L17">
        <v>0.5373</v>
      </c>
      <c r="M17">
        <v>0.88749999999999996</v>
      </c>
      <c r="O17" t="s">
        <v>316</v>
      </c>
      <c r="P17">
        <v>0.67600000000000005</v>
      </c>
      <c r="Q17">
        <f t="shared" si="1"/>
        <v>-4.170000000000007E-2</v>
      </c>
    </row>
    <row r="18" spans="1:17" ht="70" x14ac:dyDescent="0.3">
      <c r="A18">
        <v>41</v>
      </c>
      <c r="B18" t="s">
        <v>255</v>
      </c>
      <c r="C18" t="s">
        <v>256</v>
      </c>
      <c r="D18" s="2" t="s">
        <v>257</v>
      </c>
      <c r="E18" s="2" t="s">
        <v>258</v>
      </c>
      <c r="F18" s="2" t="s">
        <v>334</v>
      </c>
      <c r="G18" t="s">
        <v>259</v>
      </c>
      <c r="H18" t="s">
        <v>260</v>
      </c>
      <c r="I18">
        <v>0.79959999999999998</v>
      </c>
      <c r="J18">
        <v>0.84509999999999996</v>
      </c>
      <c r="K18">
        <v>0.66159999999999997</v>
      </c>
      <c r="L18">
        <v>0.79669999999999996</v>
      </c>
      <c r="M18">
        <v>0.8952</v>
      </c>
      <c r="O18" t="s">
        <v>324</v>
      </c>
      <c r="P18">
        <v>0.83320000000000005</v>
      </c>
      <c r="Q18">
        <f t="shared" si="1"/>
        <v>-3.3600000000000074E-2</v>
      </c>
    </row>
    <row r="19" spans="1:17" hidden="1" x14ac:dyDescent="0.3">
      <c r="A19">
        <v>17</v>
      </c>
      <c r="B19" t="s">
        <v>113</v>
      </c>
      <c r="C19" t="s">
        <v>114</v>
      </c>
      <c r="D19" t="s">
        <v>115</v>
      </c>
      <c r="E19" t="s">
        <v>116</v>
      </c>
      <c r="F19"/>
      <c r="G19" t="s">
        <v>117</v>
      </c>
      <c r="H19" t="s">
        <v>118</v>
      </c>
      <c r="I19">
        <v>0.6734</v>
      </c>
      <c r="J19">
        <v>0.67020000000000002</v>
      </c>
      <c r="K19">
        <v>0.39800000000000002</v>
      </c>
      <c r="L19">
        <v>0.74819999999999998</v>
      </c>
      <c r="M19">
        <v>0.87739999999999996</v>
      </c>
      <c r="O19" t="s">
        <v>118</v>
      </c>
      <c r="P19">
        <v>0.6734</v>
      </c>
      <c r="Q19">
        <f t="shared" si="1"/>
        <v>0</v>
      </c>
    </row>
    <row r="20" spans="1:17" ht="154" x14ac:dyDescent="0.3">
      <c r="A20">
        <v>14</v>
      </c>
      <c r="B20" t="s">
        <v>95</v>
      </c>
      <c r="C20" t="s">
        <v>96</v>
      </c>
      <c r="D20" s="2" t="s">
        <v>97</v>
      </c>
      <c r="E20" s="2" t="s">
        <v>98</v>
      </c>
      <c r="F20" s="2" t="s">
        <v>335</v>
      </c>
      <c r="G20" t="s">
        <v>99</v>
      </c>
      <c r="H20" t="s">
        <v>100</v>
      </c>
      <c r="I20">
        <v>0.4108</v>
      </c>
      <c r="J20">
        <v>0.45450000000000002</v>
      </c>
      <c r="K20">
        <v>0.1449</v>
      </c>
      <c r="L20">
        <v>0.26500000000000001</v>
      </c>
      <c r="M20">
        <v>0.77880000000000005</v>
      </c>
      <c r="O20" t="s">
        <v>312</v>
      </c>
      <c r="P20">
        <v>0.43149999999999999</v>
      </c>
      <c r="Q20">
        <f t="shared" si="1"/>
        <v>-2.0699999999999996E-2</v>
      </c>
    </row>
    <row r="21" spans="1:17" ht="238" x14ac:dyDescent="0.3">
      <c r="A21">
        <v>2</v>
      </c>
      <c r="B21" t="s">
        <v>24</v>
      </c>
      <c r="C21" t="s">
        <v>25</v>
      </c>
      <c r="D21" s="2" t="s">
        <v>26</v>
      </c>
      <c r="E21" s="2" t="s">
        <v>27</v>
      </c>
      <c r="G21" t="s">
        <v>28</v>
      </c>
      <c r="H21" t="s">
        <v>29</v>
      </c>
      <c r="I21">
        <v>0.92900000000000005</v>
      </c>
      <c r="J21">
        <v>0.88480000000000003</v>
      </c>
      <c r="K21">
        <v>0.88959999999999995</v>
      </c>
      <c r="L21">
        <v>0.96209999999999996</v>
      </c>
      <c r="M21">
        <v>0.97950000000000004</v>
      </c>
      <c r="O21" t="s">
        <v>310</v>
      </c>
      <c r="P21">
        <v>0.94369999999999998</v>
      </c>
      <c r="Q21">
        <f t="shared" si="1"/>
        <v>-1.4699999999999935E-2</v>
      </c>
    </row>
    <row r="22" spans="1:17" hidden="1" x14ac:dyDescent="0.3">
      <c r="A22">
        <v>20</v>
      </c>
      <c r="B22" t="s">
        <v>131</v>
      </c>
      <c r="C22" t="s">
        <v>132</v>
      </c>
      <c r="D22" t="s">
        <v>133</v>
      </c>
      <c r="E22" t="s">
        <v>134</v>
      </c>
      <c r="F22"/>
      <c r="G22" t="s">
        <v>135</v>
      </c>
      <c r="H22" t="s">
        <v>136</v>
      </c>
      <c r="I22">
        <v>0.89870000000000005</v>
      </c>
      <c r="J22">
        <v>0.93910000000000005</v>
      </c>
      <c r="K22">
        <v>0.79169999999999996</v>
      </c>
      <c r="L22">
        <v>0.89600000000000002</v>
      </c>
      <c r="M22">
        <v>0.96789999999999998</v>
      </c>
      <c r="O22" t="s">
        <v>136</v>
      </c>
      <c r="P22">
        <v>0.89870000000000005</v>
      </c>
      <c r="Q22">
        <f t="shared" si="1"/>
        <v>0</v>
      </c>
    </row>
    <row r="23" spans="1:17" hidden="1" x14ac:dyDescent="0.3">
      <c r="A23">
        <v>21</v>
      </c>
      <c r="B23" t="s">
        <v>137</v>
      </c>
      <c r="C23" t="s">
        <v>138</v>
      </c>
      <c r="D23" t="s">
        <v>139</v>
      </c>
      <c r="E23" t="s">
        <v>140</v>
      </c>
      <c r="F23"/>
      <c r="G23" t="s">
        <v>141</v>
      </c>
      <c r="H23" t="s">
        <v>142</v>
      </c>
      <c r="I23">
        <v>0.93210000000000004</v>
      </c>
      <c r="J23">
        <v>0.92679999999999996</v>
      </c>
      <c r="K23">
        <v>0.83909999999999996</v>
      </c>
      <c r="L23">
        <v>0.98880000000000001</v>
      </c>
      <c r="M23">
        <v>0.9738</v>
      </c>
      <c r="O23" t="s">
        <v>142</v>
      </c>
      <c r="P23">
        <v>0.93210000000000004</v>
      </c>
      <c r="Q23">
        <f t="shared" si="1"/>
        <v>0</v>
      </c>
    </row>
    <row r="24" spans="1:17" hidden="1" x14ac:dyDescent="0.3">
      <c r="A24">
        <v>22</v>
      </c>
      <c r="B24" t="s">
        <v>143</v>
      </c>
      <c r="C24" t="s">
        <v>144</v>
      </c>
      <c r="D24" t="s">
        <v>145</v>
      </c>
      <c r="E24" t="s">
        <v>146</v>
      </c>
      <c r="F24"/>
      <c r="G24" t="s">
        <v>147</v>
      </c>
      <c r="H24" t="s">
        <v>148</v>
      </c>
      <c r="I24">
        <v>0.53039999999999998</v>
      </c>
      <c r="J24">
        <v>0.42109999999999997</v>
      </c>
      <c r="K24">
        <v>0.17</v>
      </c>
      <c r="L24">
        <v>0.79810000000000003</v>
      </c>
      <c r="M24">
        <v>0.73229999999999995</v>
      </c>
      <c r="O24" t="s">
        <v>148</v>
      </c>
      <c r="P24">
        <v>0.53039999999999998</v>
      </c>
      <c r="Q24">
        <f t="shared" si="1"/>
        <v>0</v>
      </c>
    </row>
    <row r="25" spans="1:17" ht="182" x14ac:dyDescent="0.3">
      <c r="A25">
        <v>48</v>
      </c>
      <c r="B25" t="s">
        <v>296</v>
      </c>
      <c r="C25" t="s">
        <v>297</v>
      </c>
      <c r="D25" s="2" t="s">
        <v>298</v>
      </c>
      <c r="E25" s="2" t="s">
        <v>299</v>
      </c>
      <c r="F25" s="2" t="s">
        <v>336</v>
      </c>
      <c r="G25" t="s">
        <v>300</v>
      </c>
      <c r="H25" t="s">
        <v>301</v>
      </c>
      <c r="I25">
        <v>0.3528</v>
      </c>
      <c r="J25">
        <v>0.29409999999999997</v>
      </c>
      <c r="K25">
        <v>0</v>
      </c>
      <c r="L25">
        <v>0.32079999999999997</v>
      </c>
      <c r="M25">
        <v>0.79610000000000003</v>
      </c>
      <c r="O25" t="s">
        <v>326</v>
      </c>
      <c r="P25">
        <v>0.35780000000000001</v>
      </c>
      <c r="Q25">
        <f t="shared" si="1"/>
        <v>-5.0000000000000044E-3</v>
      </c>
    </row>
    <row r="26" spans="1:17" hidden="1" x14ac:dyDescent="0.3">
      <c r="A26">
        <v>24</v>
      </c>
      <c r="B26" t="s">
        <v>155</v>
      </c>
      <c r="C26" t="s">
        <v>156</v>
      </c>
      <c r="D26" t="s">
        <v>157</v>
      </c>
      <c r="E26" t="s">
        <v>158</v>
      </c>
      <c r="F26"/>
      <c r="G26" t="s">
        <v>159</v>
      </c>
      <c r="H26" t="s">
        <v>160</v>
      </c>
      <c r="I26">
        <v>0.51819999999999999</v>
      </c>
      <c r="J26">
        <v>0.36599999999999999</v>
      </c>
      <c r="K26">
        <v>0.1709</v>
      </c>
      <c r="L26">
        <v>0.70550000000000002</v>
      </c>
      <c r="M26">
        <v>0.83030000000000004</v>
      </c>
      <c r="O26" t="s">
        <v>160</v>
      </c>
      <c r="P26">
        <v>0.51819999999999999</v>
      </c>
      <c r="Q26">
        <f t="shared" si="1"/>
        <v>0</v>
      </c>
    </row>
    <row r="27" spans="1:17" hidden="1" x14ac:dyDescent="0.3">
      <c r="A27">
        <v>25</v>
      </c>
      <c r="B27" t="s">
        <v>161</v>
      </c>
      <c r="C27" t="s">
        <v>162</v>
      </c>
      <c r="D27" t="s">
        <v>163</v>
      </c>
      <c r="E27" t="s">
        <v>164</v>
      </c>
      <c r="F27"/>
      <c r="G27" t="s">
        <v>165</v>
      </c>
      <c r="H27" t="s">
        <v>166</v>
      </c>
      <c r="I27">
        <v>0.68559999999999999</v>
      </c>
      <c r="J27">
        <v>0.64790000000000003</v>
      </c>
      <c r="K27">
        <v>0.44379999999999997</v>
      </c>
      <c r="L27">
        <v>0.76829999999999998</v>
      </c>
      <c r="M27">
        <v>0.88229999999999997</v>
      </c>
      <c r="O27" t="s">
        <v>166</v>
      </c>
      <c r="P27">
        <v>0.68559999999999999</v>
      </c>
      <c r="Q27">
        <f t="shared" si="1"/>
        <v>0</v>
      </c>
    </row>
    <row r="28" spans="1:17" hidden="1" x14ac:dyDescent="0.3">
      <c r="A28">
        <v>26</v>
      </c>
      <c r="B28" t="s">
        <v>167</v>
      </c>
      <c r="C28" t="s">
        <v>168</v>
      </c>
      <c r="D28" t="s">
        <v>169</v>
      </c>
      <c r="E28" t="s">
        <v>170</v>
      </c>
      <c r="F28"/>
      <c r="G28" t="s">
        <v>171</v>
      </c>
      <c r="H28" t="s">
        <v>172</v>
      </c>
      <c r="I28">
        <v>0.55179999999999996</v>
      </c>
      <c r="J28">
        <v>0.46</v>
      </c>
      <c r="K28">
        <v>0.28199999999999997</v>
      </c>
      <c r="L28">
        <v>0.64749999999999996</v>
      </c>
      <c r="M28">
        <v>0.8175</v>
      </c>
      <c r="O28" t="s">
        <v>172</v>
      </c>
      <c r="P28">
        <v>0.55179999999999996</v>
      </c>
      <c r="Q28">
        <f t="shared" si="1"/>
        <v>0</v>
      </c>
    </row>
    <row r="29" spans="1:17" hidden="1" x14ac:dyDescent="0.3">
      <c r="A29">
        <v>27</v>
      </c>
      <c r="B29" t="s">
        <v>173</v>
      </c>
      <c r="C29" t="s">
        <v>174</v>
      </c>
      <c r="D29" t="s">
        <v>175</v>
      </c>
      <c r="E29" t="s">
        <v>176</v>
      </c>
      <c r="F29"/>
      <c r="G29" t="s">
        <v>177</v>
      </c>
      <c r="H29" t="s">
        <v>178</v>
      </c>
      <c r="I29">
        <v>0.34139999999999998</v>
      </c>
      <c r="J29">
        <v>0.26140000000000002</v>
      </c>
      <c r="K29">
        <v>7.1900000000000006E-2</v>
      </c>
      <c r="L29">
        <v>0.29449999999999998</v>
      </c>
      <c r="M29">
        <v>0.7379</v>
      </c>
      <c r="O29" t="s">
        <v>178</v>
      </c>
      <c r="P29">
        <v>0.34139999999999998</v>
      </c>
      <c r="Q29">
        <f t="shared" si="1"/>
        <v>0</v>
      </c>
    </row>
    <row r="30" spans="1:17" hidden="1" x14ac:dyDescent="0.3">
      <c r="A30">
        <v>28</v>
      </c>
      <c r="B30" t="s">
        <v>179</v>
      </c>
      <c r="C30" t="s">
        <v>180</v>
      </c>
      <c r="D30" t="s">
        <v>181</v>
      </c>
      <c r="E30" t="s">
        <v>182</v>
      </c>
      <c r="F30"/>
      <c r="G30" t="s">
        <v>183</v>
      </c>
      <c r="H30" t="s">
        <v>184</v>
      </c>
      <c r="I30">
        <v>0.54449999999999998</v>
      </c>
      <c r="J30">
        <v>0.56410000000000005</v>
      </c>
      <c r="K30">
        <v>0.28920000000000001</v>
      </c>
      <c r="L30">
        <v>0.46870000000000001</v>
      </c>
      <c r="M30">
        <v>0.85609999999999997</v>
      </c>
      <c r="O30" t="s">
        <v>184</v>
      </c>
      <c r="P30">
        <v>0.54449999999999998</v>
      </c>
      <c r="Q30">
        <f t="shared" si="1"/>
        <v>0</v>
      </c>
    </row>
    <row r="31" spans="1:17" ht="224" x14ac:dyDescent="0.3">
      <c r="A31">
        <v>37</v>
      </c>
      <c r="B31" t="s">
        <v>231</v>
      </c>
      <c r="C31" t="s">
        <v>232</v>
      </c>
      <c r="D31" s="2" t="s">
        <v>233</v>
      </c>
      <c r="E31" s="2" t="s">
        <v>234</v>
      </c>
      <c r="G31" t="s">
        <v>235</v>
      </c>
      <c r="H31" t="s">
        <v>236</v>
      </c>
      <c r="I31">
        <v>0.52070000000000005</v>
      </c>
      <c r="J31">
        <v>0.42420000000000002</v>
      </c>
      <c r="K31">
        <v>0.13400000000000001</v>
      </c>
      <c r="L31">
        <v>0.71819999999999995</v>
      </c>
      <c r="M31">
        <v>0.80630000000000002</v>
      </c>
      <c r="O31" t="s">
        <v>323</v>
      </c>
      <c r="P31">
        <v>0.52270000000000005</v>
      </c>
      <c r="Q31">
        <f t="shared" si="1"/>
        <v>-2.0000000000000018E-3</v>
      </c>
    </row>
    <row r="32" spans="1:17" ht="70" x14ac:dyDescent="0.3">
      <c r="A32">
        <v>45</v>
      </c>
      <c r="B32" t="s">
        <v>279</v>
      </c>
      <c r="C32" t="s">
        <v>280</v>
      </c>
      <c r="D32" s="2" t="s">
        <v>281</v>
      </c>
      <c r="E32" s="4" t="s">
        <v>282</v>
      </c>
      <c r="F32" s="4"/>
      <c r="G32" t="s">
        <v>283</v>
      </c>
      <c r="H32" t="s">
        <v>284</v>
      </c>
      <c r="I32">
        <v>0.31140000000000001</v>
      </c>
      <c r="J32">
        <v>0.23380000000000001</v>
      </c>
      <c r="K32">
        <v>0</v>
      </c>
      <c r="L32">
        <v>0.21929999999999999</v>
      </c>
      <c r="M32">
        <v>0.79259999999999997</v>
      </c>
      <c r="O32" t="s">
        <v>325</v>
      </c>
      <c r="P32">
        <v>0.30969999999999998</v>
      </c>
      <c r="Q32">
        <f t="shared" si="1"/>
        <v>1.7000000000000348E-3</v>
      </c>
    </row>
    <row r="33" spans="1:17" ht="140" x14ac:dyDescent="0.3">
      <c r="A33">
        <v>15</v>
      </c>
      <c r="B33" t="s">
        <v>101</v>
      </c>
      <c r="C33" t="s">
        <v>102</v>
      </c>
      <c r="D33" s="2" t="s">
        <v>103</v>
      </c>
      <c r="E33" s="2" t="s">
        <v>104</v>
      </c>
      <c r="G33" t="s">
        <v>105</v>
      </c>
      <c r="H33" t="s">
        <v>106</v>
      </c>
      <c r="I33">
        <v>0.52749999999999997</v>
      </c>
      <c r="J33">
        <v>0.50749999999999995</v>
      </c>
      <c r="K33">
        <v>0.1464</v>
      </c>
      <c r="L33">
        <v>0.66769999999999996</v>
      </c>
      <c r="M33">
        <v>0.7883</v>
      </c>
      <c r="O33" t="s">
        <v>313</v>
      </c>
      <c r="P33">
        <v>0.51039999999999996</v>
      </c>
      <c r="Q33">
        <f t="shared" si="1"/>
        <v>1.7100000000000004E-2</v>
      </c>
    </row>
    <row r="34" spans="1:17" hidden="1" x14ac:dyDescent="0.3">
      <c r="A34">
        <v>32</v>
      </c>
      <c r="B34" t="s">
        <v>202</v>
      </c>
      <c r="C34" t="s">
        <v>203</v>
      </c>
      <c r="D34" t="s">
        <v>204</v>
      </c>
      <c r="E34" t="s">
        <v>205</v>
      </c>
      <c r="F34"/>
      <c r="G34" t="s">
        <v>206</v>
      </c>
      <c r="H34" t="s">
        <v>207</v>
      </c>
      <c r="I34">
        <v>0.42680000000000001</v>
      </c>
      <c r="J34">
        <v>0.45710000000000001</v>
      </c>
      <c r="K34">
        <v>0.14219999999999999</v>
      </c>
      <c r="L34">
        <v>0.30669999999999997</v>
      </c>
      <c r="M34">
        <v>0.80130000000000001</v>
      </c>
      <c r="O34" t="s">
        <v>207</v>
      </c>
      <c r="P34">
        <v>0.42680000000000001</v>
      </c>
      <c r="Q34">
        <f t="shared" si="1"/>
        <v>0</v>
      </c>
    </row>
    <row r="35" spans="1:17" ht="98" x14ac:dyDescent="0.3">
      <c r="A35">
        <v>29</v>
      </c>
      <c r="B35" t="s">
        <v>185</v>
      </c>
      <c r="C35" t="s">
        <v>186</v>
      </c>
      <c r="D35" s="2" t="s">
        <v>187</v>
      </c>
      <c r="E35" s="2" t="s">
        <v>188</v>
      </c>
      <c r="G35" t="s">
        <v>189</v>
      </c>
      <c r="H35" t="s">
        <v>190</v>
      </c>
      <c r="I35">
        <v>0.89900000000000002</v>
      </c>
      <c r="J35">
        <v>0.91949999999999998</v>
      </c>
      <c r="K35">
        <v>0.73070000000000002</v>
      </c>
      <c r="L35">
        <v>0.97760000000000002</v>
      </c>
      <c r="M35">
        <v>0.96840000000000004</v>
      </c>
      <c r="O35" t="s">
        <v>318</v>
      </c>
      <c r="P35">
        <v>0.88149999999999995</v>
      </c>
      <c r="Q35">
        <f t="shared" si="1"/>
        <v>1.7500000000000071E-2</v>
      </c>
    </row>
    <row r="36" spans="1:17" ht="210" x14ac:dyDescent="0.3">
      <c r="A36">
        <v>11</v>
      </c>
      <c r="B36" t="s">
        <v>77</v>
      </c>
      <c r="C36" t="s">
        <v>78</v>
      </c>
      <c r="D36" s="2" t="s">
        <v>79</v>
      </c>
      <c r="E36" s="2" t="s">
        <v>80</v>
      </c>
      <c r="G36" t="s">
        <v>81</v>
      </c>
      <c r="H36" t="s">
        <v>82</v>
      </c>
      <c r="I36">
        <v>0.66749999999999998</v>
      </c>
      <c r="J36">
        <v>0.75860000000000005</v>
      </c>
      <c r="K36">
        <v>0.37480000000000002</v>
      </c>
      <c r="L36">
        <v>0.63900000000000001</v>
      </c>
      <c r="M36">
        <v>0.89759999999999995</v>
      </c>
      <c r="O36" t="s">
        <v>311</v>
      </c>
      <c r="P36">
        <v>0.62770000000000004</v>
      </c>
      <c r="Q36">
        <f t="shared" si="1"/>
        <v>3.9799999999999947E-2</v>
      </c>
    </row>
    <row r="37" spans="1:17" hidden="1" x14ac:dyDescent="0.3">
      <c r="A37">
        <v>35</v>
      </c>
      <c r="B37" t="s">
        <v>219</v>
      </c>
      <c r="C37" t="s">
        <v>220</v>
      </c>
      <c r="D37" t="s">
        <v>221</v>
      </c>
      <c r="E37" t="s">
        <v>222</v>
      </c>
      <c r="F37"/>
      <c r="G37" t="s">
        <v>223</v>
      </c>
      <c r="H37" t="s">
        <v>224</v>
      </c>
      <c r="I37">
        <v>0.77149999999999996</v>
      </c>
      <c r="J37">
        <v>0.78520000000000001</v>
      </c>
      <c r="K37">
        <v>0.59960000000000002</v>
      </c>
      <c r="L37">
        <v>0.79569999999999996</v>
      </c>
      <c r="M37">
        <v>0.90539999999999998</v>
      </c>
      <c r="O37" t="s">
        <v>224</v>
      </c>
      <c r="P37">
        <v>0.77149999999999996</v>
      </c>
      <c r="Q37">
        <f t="shared" si="1"/>
        <v>0</v>
      </c>
    </row>
    <row r="38" spans="1:17" hidden="1" x14ac:dyDescent="0.3">
      <c r="A38">
        <v>36</v>
      </c>
      <c r="B38" t="s">
        <v>225</v>
      </c>
      <c r="C38" t="s">
        <v>226</v>
      </c>
      <c r="D38" t="s">
        <v>227</v>
      </c>
      <c r="E38" t="s">
        <v>228</v>
      </c>
      <c r="F38"/>
      <c r="G38" t="s">
        <v>229</v>
      </c>
      <c r="H38" t="s">
        <v>230</v>
      </c>
      <c r="I38">
        <v>0.4274</v>
      </c>
      <c r="J38">
        <v>0.47370000000000001</v>
      </c>
      <c r="K38">
        <v>9.7299999999999998E-2</v>
      </c>
      <c r="L38">
        <v>0.29759999999999998</v>
      </c>
      <c r="M38">
        <v>0.84099999999999997</v>
      </c>
      <c r="O38" t="s">
        <v>230</v>
      </c>
      <c r="P38">
        <v>0.4274</v>
      </c>
      <c r="Q38">
        <f t="shared" si="1"/>
        <v>0</v>
      </c>
    </row>
    <row r="39" spans="1:17" ht="126" x14ac:dyDescent="0.3">
      <c r="A39">
        <v>23</v>
      </c>
      <c r="B39" t="s">
        <v>149</v>
      </c>
      <c r="C39" t="s">
        <v>150</v>
      </c>
      <c r="D39" s="2" t="s">
        <v>151</v>
      </c>
      <c r="E39" s="2" t="s">
        <v>152</v>
      </c>
      <c r="G39" t="s">
        <v>153</v>
      </c>
      <c r="H39" t="s">
        <v>154</v>
      </c>
      <c r="I39">
        <v>0.36990000000000001</v>
      </c>
      <c r="J39">
        <v>0.2727</v>
      </c>
      <c r="K39">
        <v>0</v>
      </c>
      <c r="L39">
        <v>0.47260000000000002</v>
      </c>
      <c r="M39">
        <v>0.73419999999999996</v>
      </c>
      <c r="O39" t="s">
        <v>317</v>
      </c>
      <c r="P39">
        <v>0.30980000000000002</v>
      </c>
      <c r="Q39">
        <f t="shared" si="1"/>
        <v>6.0099999999999987E-2</v>
      </c>
    </row>
    <row r="40" spans="1:17" hidden="1" x14ac:dyDescent="0.3">
      <c r="A40">
        <v>38</v>
      </c>
      <c r="B40" t="s">
        <v>237</v>
      </c>
      <c r="C40" t="s">
        <v>238</v>
      </c>
      <c r="D40" t="s">
        <v>239</v>
      </c>
      <c r="E40" t="s">
        <v>240</v>
      </c>
      <c r="F40"/>
      <c r="G40" t="s">
        <v>241</v>
      </c>
      <c r="H40" t="s">
        <v>242</v>
      </c>
      <c r="I40">
        <v>0.7248</v>
      </c>
      <c r="J40">
        <v>0.83330000000000004</v>
      </c>
      <c r="K40">
        <v>0.36620000000000003</v>
      </c>
      <c r="L40">
        <v>0.80859999999999999</v>
      </c>
      <c r="M40">
        <v>0.89100000000000001</v>
      </c>
      <c r="O40" t="s">
        <v>242</v>
      </c>
      <c r="P40">
        <v>0.7248</v>
      </c>
      <c r="Q40">
        <f t="shared" si="1"/>
        <v>0</v>
      </c>
    </row>
    <row r="41" spans="1:17" hidden="1" x14ac:dyDescent="0.3">
      <c r="A41">
        <v>39</v>
      </c>
      <c r="B41" t="s">
        <v>243</v>
      </c>
      <c r="C41" t="s">
        <v>244</v>
      </c>
      <c r="D41" t="s">
        <v>245</v>
      </c>
      <c r="E41" t="s">
        <v>246</v>
      </c>
      <c r="F41"/>
      <c r="G41" t="s">
        <v>247</v>
      </c>
      <c r="H41" t="s">
        <v>248</v>
      </c>
      <c r="I41">
        <v>0.94920000000000004</v>
      </c>
      <c r="J41">
        <v>0.96</v>
      </c>
      <c r="K41">
        <v>0.90110000000000001</v>
      </c>
      <c r="L41">
        <v>0.95169999999999999</v>
      </c>
      <c r="M41">
        <v>0.98419999999999996</v>
      </c>
      <c r="O41" t="s">
        <v>248</v>
      </c>
      <c r="P41">
        <v>0.94920000000000004</v>
      </c>
      <c r="Q41">
        <f t="shared" si="1"/>
        <v>0</v>
      </c>
    </row>
    <row r="42" spans="1:17" hidden="1" x14ac:dyDescent="0.3">
      <c r="A42">
        <v>40</v>
      </c>
      <c r="B42" t="s">
        <v>249</v>
      </c>
      <c r="C42" t="s">
        <v>250</v>
      </c>
      <c r="D42" t="s">
        <v>251</v>
      </c>
      <c r="E42" t="s">
        <v>252</v>
      </c>
      <c r="F42"/>
      <c r="G42" t="s">
        <v>253</v>
      </c>
      <c r="H42" t="s">
        <v>254</v>
      </c>
      <c r="I42">
        <v>0.28499999999999998</v>
      </c>
      <c r="J42">
        <v>0.22220000000000001</v>
      </c>
      <c r="K42">
        <v>0</v>
      </c>
      <c r="L42">
        <v>0.14349999999999999</v>
      </c>
      <c r="M42">
        <v>0.77439999999999998</v>
      </c>
      <c r="O42" t="s">
        <v>254</v>
      </c>
      <c r="P42">
        <v>0.28499999999999998</v>
      </c>
      <c r="Q42">
        <f t="shared" si="1"/>
        <v>0</v>
      </c>
    </row>
    <row r="43" spans="1:17" ht="280" x14ac:dyDescent="0.3">
      <c r="A43">
        <v>34</v>
      </c>
      <c r="B43" t="s">
        <v>213</v>
      </c>
      <c r="C43" t="s">
        <v>214</v>
      </c>
      <c r="D43" s="2" t="s">
        <v>215</v>
      </c>
      <c r="E43" s="2" t="s">
        <v>216</v>
      </c>
      <c r="G43" t="s">
        <v>217</v>
      </c>
      <c r="H43" t="s">
        <v>218</v>
      </c>
      <c r="I43">
        <v>0.78900000000000003</v>
      </c>
      <c r="J43">
        <v>0.8</v>
      </c>
      <c r="K43">
        <v>0.67879999999999996</v>
      </c>
      <c r="L43">
        <v>0.74629999999999996</v>
      </c>
      <c r="M43">
        <v>0.93089999999999995</v>
      </c>
      <c r="O43" t="s">
        <v>322</v>
      </c>
      <c r="P43">
        <v>0.71179999999999999</v>
      </c>
      <c r="Q43">
        <f t="shared" si="1"/>
        <v>7.7200000000000046E-2</v>
      </c>
    </row>
    <row r="44" spans="1:17" hidden="1" x14ac:dyDescent="0.3">
      <c r="A44">
        <v>42</v>
      </c>
      <c r="B44" t="s">
        <v>261</v>
      </c>
      <c r="C44" t="s">
        <v>262</v>
      </c>
      <c r="D44" t="s">
        <v>263</v>
      </c>
      <c r="E44" t="s">
        <v>264</v>
      </c>
      <c r="F44"/>
      <c r="G44" t="s">
        <v>265</v>
      </c>
      <c r="H44" t="s">
        <v>266</v>
      </c>
      <c r="I44">
        <v>0.62139999999999995</v>
      </c>
      <c r="J44">
        <v>0.6</v>
      </c>
      <c r="K44">
        <v>0.32219999999999999</v>
      </c>
      <c r="L44">
        <v>0.8125</v>
      </c>
      <c r="M44">
        <v>0.75070000000000003</v>
      </c>
      <c r="O44" t="s">
        <v>266</v>
      </c>
      <c r="P44">
        <v>0.62139999999999995</v>
      </c>
      <c r="Q44">
        <f t="shared" si="1"/>
        <v>0</v>
      </c>
    </row>
    <row r="45" spans="1:17" hidden="1" x14ac:dyDescent="0.3">
      <c r="A45">
        <v>43</v>
      </c>
      <c r="B45" t="s">
        <v>267</v>
      </c>
      <c r="C45" t="s">
        <v>268</v>
      </c>
      <c r="D45" t="s">
        <v>269</v>
      </c>
      <c r="E45" t="s">
        <v>270</v>
      </c>
      <c r="F45"/>
      <c r="G45" t="s">
        <v>271</v>
      </c>
      <c r="H45" t="s">
        <v>272</v>
      </c>
      <c r="I45">
        <v>0.80820000000000003</v>
      </c>
      <c r="J45">
        <v>0.77780000000000005</v>
      </c>
      <c r="K45">
        <v>0.57850000000000001</v>
      </c>
      <c r="L45">
        <v>0.95779999999999998</v>
      </c>
      <c r="M45">
        <v>0.91859999999999997</v>
      </c>
      <c r="O45" t="s">
        <v>272</v>
      </c>
      <c r="P45">
        <v>0.80820000000000003</v>
      </c>
      <c r="Q45">
        <f t="shared" si="1"/>
        <v>0</v>
      </c>
    </row>
    <row r="46" spans="1:17" hidden="1" x14ac:dyDescent="0.3">
      <c r="A46">
        <v>44</v>
      </c>
      <c r="B46" t="s">
        <v>273</v>
      </c>
      <c r="C46" t="s">
        <v>274</v>
      </c>
      <c r="D46" t="s">
        <v>275</v>
      </c>
      <c r="E46" t="s">
        <v>276</v>
      </c>
      <c r="F46"/>
      <c r="G46" t="s">
        <v>277</v>
      </c>
      <c r="H46" t="s">
        <v>278</v>
      </c>
      <c r="I46">
        <v>0.87060000000000004</v>
      </c>
      <c r="J46">
        <v>0.8387</v>
      </c>
      <c r="K46">
        <v>0.73260000000000003</v>
      </c>
      <c r="L46">
        <v>0.9677</v>
      </c>
      <c r="M46">
        <v>0.94359999999999999</v>
      </c>
      <c r="O46" t="s">
        <v>278</v>
      </c>
      <c r="P46">
        <v>0.87060000000000004</v>
      </c>
      <c r="Q46">
        <f t="shared" si="1"/>
        <v>0</v>
      </c>
    </row>
    <row r="47" spans="1:17" ht="322" x14ac:dyDescent="0.3">
      <c r="A47">
        <v>31</v>
      </c>
      <c r="B47" t="s">
        <v>196</v>
      </c>
      <c r="C47" t="s">
        <v>197</v>
      </c>
      <c r="D47" s="2" t="s">
        <v>198</v>
      </c>
      <c r="E47" s="2" t="s">
        <v>199</v>
      </c>
      <c r="G47" t="s">
        <v>200</v>
      </c>
      <c r="H47" t="s">
        <v>201</v>
      </c>
      <c r="I47">
        <v>0.4929</v>
      </c>
      <c r="J47">
        <v>0.38100000000000001</v>
      </c>
      <c r="K47">
        <v>0</v>
      </c>
      <c r="L47">
        <v>0.80989999999999995</v>
      </c>
      <c r="M47">
        <v>0.78059999999999996</v>
      </c>
      <c r="O47" t="s">
        <v>320</v>
      </c>
      <c r="P47">
        <v>0.4103</v>
      </c>
      <c r="Q47">
        <f t="shared" si="1"/>
        <v>8.2600000000000007E-2</v>
      </c>
    </row>
    <row r="48" spans="1:17" hidden="1" x14ac:dyDescent="0.3">
      <c r="A48">
        <v>46</v>
      </c>
      <c r="B48" t="s">
        <v>285</v>
      </c>
      <c r="C48" t="s">
        <v>286</v>
      </c>
      <c r="D48" t="s">
        <v>287</v>
      </c>
      <c r="E48" t="s">
        <v>288</v>
      </c>
      <c r="F48"/>
      <c r="G48" t="s">
        <v>289</v>
      </c>
      <c r="H48" t="s">
        <v>289</v>
      </c>
      <c r="I48">
        <v>0.99980000000000002</v>
      </c>
      <c r="J48">
        <v>1</v>
      </c>
      <c r="K48">
        <v>1</v>
      </c>
      <c r="L48">
        <v>0.99929999999999997</v>
      </c>
      <c r="M48">
        <v>1</v>
      </c>
      <c r="O48" t="s">
        <v>289</v>
      </c>
      <c r="P48">
        <v>0.99980000000000002</v>
      </c>
      <c r="Q48">
        <f t="shared" si="1"/>
        <v>0</v>
      </c>
    </row>
    <row r="49" spans="1:17" hidden="1" x14ac:dyDescent="0.3">
      <c r="A49">
        <v>47</v>
      </c>
      <c r="B49" t="s">
        <v>290</v>
      </c>
      <c r="C49" t="s">
        <v>291</v>
      </c>
      <c r="D49" t="s">
        <v>292</v>
      </c>
      <c r="E49" t="s">
        <v>293</v>
      </c>
      <c r="F49"/>
      <c r="G49" t="s">
        <v>294</v>
      </c>
      <c r="H49" t="s">
        <v>295</v>
      </c>
      <c r="I49">
        <v>0.21510000000000001</v>
      </c>
      <c r="J49">
        <v>6.25E-2</v>
      </c>
      <c r="K49">
        <v>0</v>
      </c>
      <c r="L49">
        <v>9.8199999999999996E-2</v>
      </c>
      <c r="M49">
        <v>0.69979999999999998</v>
      </c>
      <c r="O49" t="s">
        <v>295</v>
      </c>
      <c r="P49">
        <v>0.21510000000000001</v>
      </c>
      <c r="Q49">
        <f t="shared" si="1"/>
        <v>0</v>
      </c>
    </row>
    <row r="50" spans="1:17" ht="140" x14ac:dyDescent="0.3">
      <c r="A50">
        <v>30</v>
      </c>
      <c r="B50" t="s">
        <v>328</v>
      </c>
      <c r="C50" t="s">
        <v>191</v>
      </c>
      <c r="D50" s="2" t="s">
        <v>192</v>
      </c>
      <c r="E50" s="2" t="s">
        <v>193</v>
      </c>
      <c r="G50" t="s">
        <v>194</v>
      </c>
      <c r="H50" t="s">
        <v>195</v>
      </c>
      <c r="I50">
        <v>0.96779999999999999</v>
      </c>
      <c r="J50">
        <v>0.96430000000000005</v>
      </c>
      <c r="K50">
        <v>0.93369999999999997</v>
      </c>
      <c r="L50">
        <v>0.97489999999999999</v>
      </c>
      <c r="M50">
        <v>0.99850000000000005</v>
      </c>
      <c r="O50" t="s">
        <v>319</v>
      </c>
      <c r="P50">
        <v>0.62970000000000004</v>
      </c>
      <c r="Q50">
        <f t="shared" si="1"/>
        <v>0.33809999999999996</v>
      </c>
    </row>
    <row r="51" spans="1:17" hidden="1" x14ac:dyDescent="0.3">
      <c r="A51">
        <v>49</v>
      </c>
      <c r="B51" t="s">
        <v>302</v>
      </c>
      <c r="C51" t="s">
        <v>303</v>
      </c>
      <c r="D51" t="s">
        <v>304</v>
      </c>
      <c r="E51" t="s">
        <v>305</v>
      </c>
      <c r="F51"/>
      <c r="G51" t="s">
        <v>306</v>
      </c>
      <c r="H51" t="s">
        <v>307</v>
      </c>
      <c r="I51">
        <v>0.91520000000000001</v>
      </c>
      <c r="J51">
        <v>0.95450000000000002</v>
      </c>
      <c r="K51">
        <v>0.78820000000000001</v>
      </c>
      <c r="L51">
        <v>0.9335</v>
      </c>
      <c r="M51">
        <v>0.98470000000000002</v>
      </c>
      <c r="O51" t="s">
        <v>307</v>
      </c>
      <c r="P51">
        <v>0.91520000000000001</v>
      </c>
      <c r="Q51">
        <f t="shared" si="0"/>
        <v>0</v>
      </c>
    </row>
  </sheetData>
  <autoFilter ref="A1:Q51" xr:uid="{00000000-0001-0000-0000-000000000000}">
    <filterColumn colId="16">
      <customFilters>
        <customFilter operator="notEqual" val="0"/>
      </customFilters>
    </filterColumn>
    <sortState xmlns:xlrd2="http://schemas.microsoft.com/office/spreadsheetml/2017/richdata2" ref="A4:Q50">
      <sortCondition ref="Q1:Q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2025-11-03T04:35:14Z</dcterms:created>
  <dcterms:modified xsi:type="dcterms:W3CDTF">2025-11-03T06:34:00Z</dcterms:modified>
</cp:coreProperties>
</file>