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5-2025\"/>
    </mc:Choice>
  </mc:AlternateContent>
  <xr:revisionPtr revIDLastSave="0" documentId="13_ncr:1_{01C299AE-BE22-4C25-A1C0-1AF2478CFCE4}"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 i="1" l="1"/>
  <c r="T8" i="1"/>
  <c r="T9" i="1"/>
  <c r="T10" i="1"/>
  <c r="T11" i="1"/>
  <c r="T12" i="1"/>
  <c r="T49" i="1"/>
  <c r="T13" i="1"/>
  <c r="T14" i="1"/>
  <c r="T15" i="1"/>
  <c r="T16" i="1"/>
  <c r="T17" i="1"/>
  <c r="T18" i="1"/>
  <c r="T48" i="1"/>
  <c r="T19" i="1"/>
  <c r="T20" i="1"/>
  <c r="T21" i="1"/>
  <c r="T3" i="1"/>
  <c r="T51" i="1"/>
  <c r="T22" i="1"/>
  <c r="T46" i="1"/>
  <c r="T23" i="1"/>
  <c r="T24" i="1"/>
  <c r="T2" i="1"/>
  <c r="T25" i="1"/>
  <c r="T26" i="1"/>
  <c r="T27" i="1"/>
  <c r="T6" i="1"/>
  <c r="T28" i="1"/>
  <c r="T29" i="1"/>
  <c r="T44" i="1"/>
  <c r="T50" i="1"/>
  <c r="T30" i="1"/>
  <c r="T31" i="1"/>
  <c r="T4" i="1"/>
  <c r="T5" i="1"/>
  <c r="T32" i="1"/>
  <c r="T33" i="1"/>
  <c r="T34" i="1"/>
  <c r="T47" i="1"/>
  <c r="T35" i="1"/>
  <c r="T36" i="1"/>
  <c r="T37" i="1"/>
  <c r="T38" i="1"/>
  <c r="T39" i="1"/>
  <c r="T40" i="1"/>
  <c r="T41" i="1"/>
  <c r="T43" i="1"/>
  <c r="T42" i="1"/>
  <c r="T45" i="1"/>
</calcChain>
</file>

<file path=xl/sharedStrings.xml><?xml version="1.0" encoding="utf-8"?>
<sst xmlns="http://schemas.openxmlformats.org/spreadsheetml/2006/main" count="520" uniqueCount="369">
  <si>
    <t>Sample_ID</t>
  </si>
  <si>
    <t>Model</t>
  </si>
  <si>
    <t>System_Prompt</t>
  </si>
  <si>
    <t>Question</t>
  </si>
  <si>
    <t>Context</t>
  </si>
  <si>
    <t>Ground_Truth_Answer</t>
  </si>
  <si>
    <t>Extracted_Keywords_Initial</t>
  </si>
  <si>
    <t>Keyword_Helpfulness_Scores</t>
  </si>
  <si>
    <t>Keyword_Recall_Score_Initial</t>
  </si>
  <si>
    <t>Extracted_Keywords_After_Filter</t>
  </si>
  <si>
    <t>Keyword_Recall_Score_After_Filter</t>
  </si>
  <si>
    <t>Filtered_Noise_Keywords</t>
  </si>
  <si>
    <t>Extract_EN_Answer</t>
  </si>
  <si>
    <t>Extract_EN_ROUGE-L</t>
  </si>
  <si>
    <t>Extract_EN_BLEU</t>
  </si>
  <si>
    <t>Extract_EN_METEOR</t>
  </si>
  <si>
    <t>Extract_EN_BERTScore-F1</t>
  </si>
  <si>
    <t>unsloth/Qwen3-0.6B-unsloth-bnb-4bit</t>
  </si>
  <si>
    <t>Expert_SP_EN</t>
  </si>
  <si>
    <t>Tại sao cần đưa bệnh nhân đến bệnh viện ngay khi dùng quá liều Alzental Shinpoong?</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</si>
  <si>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</si>
  <si>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Việc đưa bệnh nhân đến bệnh viện ngay khi dùng quá liều Alzental Shinpoong rất quan trọng vì có thể xuất hiện nhiều biểu hiện nguy hiểm hơn như suy giảm bạch cầu, suy giảm chức năng gan.</t>
  </si>
  <si>
    <t>['Tại sao cần', 'sao cần đưa', 'cần đưa bệnh', 'khi dùng quá', 'liều Alzental', 'dùng quá liều', 'đưa bệnh nhân', 'Alzental Shinpoong']</t>
  </si>
  <si>
    <t>[0.4504, 0.4663, 0.5628, 0.6263, 0.7892, 0.6768, 0.5532, 0.7801]</t>
  </si>
  <si>
    <t>['liều Alzental', 'Alzental Shinpoong', 'dùng quá liều', 'khi dùng quá']</t>
  </si>
  <si>
    <t>[]</t>
  </si>
  <si>
    <t>Để bác sĩ có thể tìm ra nguyên nhân và xử trí kịp thời, tránh những hậu quả nghiêm trọng.</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</si>
  <si>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</si>
  <si>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</si>
  <si>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Hút thuốc lá làm tăng nguy cơ mắc ung thư biểu mô tế bào gan. Vì thế, nên hạn chế sử dụng đồ uống có cồn, không hút thuốc lá (kể cả hút thụ động khói thuốc lá từ người khác).</t>
  </si>
  <si>
    <t>['gan', 'ung thư', 'thư biểu', 'ảnh hưởng', 'thế nào đến', 'nào đến nguy', 'hưởng như thế']</t>
  </si>
  <si>
    <t>[0.4884, 0.6527, 0.4801, 0.505, 0.4294, 0.4848, 0.4272]</t>
  </si>
  <si>
    <t>['ung thư']</t>
  </si>
  <si>
    <t>Hút thuốc lá có thể làm tăng nguy cơ mắc ung thư biểu mô tế bào gan.</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</si>
  <si>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</si>
  <si>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</si>
  <si>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Trong dân gian, Tỳ bà diệp là vị thuốc cổ truyền, được sử dụng rất lâu đời.</t>
  </si>
  <si>
    <t>['diệp', 'Mao căn', 'dân gian', 'Loại Chứng', 'thế nào trong', 'nào trong dân']</t>
  </si>
  <si>
    <t>[0.7324, 0.5441, 0.5474, 0.4926, 0.4543, 0.5142]</t>
  </si>
  <si>
    <t>['diệp']</t>
  </si>
  <si>
    <t>['như thế nào', 'thế nào']</t>
  </si>
  <si>
    <t>Tỳ bà diệp được sử dụng trong dân gian với nhiều tác dụng quý, được dùng nhiều trong các bài thuốc chữa bệnh cũng như cuộc sống hằng ngày.</t>
  </si>
  <si>
    <t>Nếu khi dùng thuốc Alsiful S.R xuất hiện bất kỳ một triệu chứng nào bất thường thì phải làm gì?</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</si>
  <si>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</si>
  <si>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Cần gọi ngay cho các nhân viên y tế để có thể được xử trí và hỗ trợ kịp thời.</t>
  </si>
  <si>
    <t>['Alsiful', 'thì phải', 'phải làm', 'xuất hiện bất', 'chứng nào bất']</t>
  </si>
  <si>
    <t>[0.6786, 0.4362, 0.4362, 0.5193, 0.4619]</t>
  </si>
  <si>
    <t>['Alsiful']</t>
  </si>
  <si>
    <t>Nếu khi dùng thuốc Alsiful S.R xuất hiện bất kỳ một triệu chứng nào bất thường thì phải gọi ngay cho các nhân viên y tế để được xử trí và hỗ trợ kịp thời.</t>
  </si>
  <si>
    <t>Ngoài giảm đau, Acepron 250 mg còn có thêm tác dụng nào khác?</t>
  </si>
  <si>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</si>
  <si>
    <t>Ngoài tác dụng giảm đau, Acepron 250 mg còn có thêm tác dụng giảm thân nhiệt ở những người có triệu chứng sốt do cảm cúm, sốt xuất huyết, nhiễm khuẩn, nhiễm siêu vi, mọc răng, sau khi tiêm chủng, sau phẫu thuật.</t>
  </si>
  <si>
    <t>['nào khác', 'Ngoài giảm', 'còn có thêm', 'tác dụng nào', 'thêm tác dụng', 'thuốc Acepron', 'dụng trong điều']</t>
  </si>
  <si>
    <t>[0.4412, 0.4959, 0.4481, 0.5475, 0.5405, 0.8759, 0.4921]</t>
  </si>
  <si>
    <t>['thuốc Acepron']</t>
  </si>
  <si>
    <t>Thuốc Acepron 250 mg còn có tác dụng giảm thân nhiệt ở những người có triệu chứng sốt do cảm cúm, sốt xuất huyết, nhiễm khuẩn, nhiễm siêu vi, mọc răng, sau khi tiêm chủng, sau phẫu thuật…</t>
  </si>
  <si>
    <t>Có bao nhiêu chất hoạt tính sinh học quan trọng trong Tang ký sinh?</t>
  </si>
  <si>
    <t>Các thành phần hoạt tính sinh học quan trọng trong Tang ký sinh là coriaria lacton bao gồm sesquiterpene lacton: coriamyrtin, tutin, corianin và coriatin.</t>
  </si>
  <si>
    <t>Có 4 chất hoạt tính sinh học quan trọng trong Tang ký sinh.</t>
  </si>
  <si>
    <t>['trong Tang', 'tính sinh học', 'sinh học quan', 'học quan trọng', 'hoạt tính sinh', 'chất hoạt tính', 'bao nhiêu chất', 'nhiêu chất hoạt', 'quan trọng trong']</t>
  </si>
  <si>
    <t>[0.6698, 0.6407, 0.5793, 0.4867, 0.6982, 0.617, 0.6264, 0.6727, 0.5482]</t>
  </si>
  <si>
    <t>['hoạt tính sinh', 'nhiêu chất hoạt', 'trong Tang', 'tính sinh học']</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</si>
  <si>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</si>
  <si>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</si>
  <si>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</si>
  <si>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['sóc trẻ nhỏ', 'Khi chăm sóc', 'dấu hiệu bất', 'chăm sóc trẻ', 'cần quan sát', 'sát những dấu', 'bất thường nào', 'những dấu hiệu', 'quan sát những', 'hiệu bất thường']</t>
  </si>
  <si>
    <t>[0.5558, 0.5417, 0.5331, 0.61, 0.4768, 0.45, 0.5184, 0.577, 0.4415, 0.5442]</t>
  </si>
  <si>
    <t>['chăm sóc trẻ']</t>
  </si>
  <si>
    <t>Khi chăm sóc trẻ nhỏ bị tiêu chảy tại nhà, phụ huynh cần quan sát kĩ các dấu hiệu bất thường ở trẻ như thời gian bắt đầu, các triệu chứng đã xuất hiện, kéo dài bao lâu.</t>
  </si>
  <si>
    <t>Hố yên trong trường hợp vô căn có đặc điểm gì?</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</si>
  <si>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</si>
  <si>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Hố yên trong trường hợp vô căn có thể nhỏ, rộng hoặc bình thường.</t>
  </si>
  <si>
    <t>['yên', 'đặc điểm', 'nhiễm sắc', 'trường hợp', 'hợp vô căn', 'căn có đặc', 'trong trường']</t>
  </si>
  <si>
    <t>[0.571, 0.5394, 0.5535, 0.5824, 0.756, 0.627, 0.4606]</t>
  </si>
  <si>
    <t>['hợp vô căn']</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</si>
  <si>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</si>
  <si>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</si>
  <si>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</si>
  <si>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['mạch', 'tĩnh', 'huyết khối', 'Nếu không được']</t>
  </si>
  <si>
    <t>[0.5821, 0.4793, 0.7518, 0.4592]</t>
  </si>
  <si>
    <t>['huyết khối']</t>
  </si>
  <si>
    <t>Nếu không được điều trị, huyết khối tĩnh mạch sâu có thể dẫn đến các biến chứng như: sưng chân, đau, vỡ ra và đi vào phổi, gây thuyên tắc phổi.</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</si>
  <si>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</si>
  <si>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</si>
  <si>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Liều dùng tối đa của Aspegic cho trẻ em dưới 30 tháng tuổi là 80 mg/ kg/ ngày.</t>
  </si>
  <si>
    <t>['Mỗi', 'dùng', 'Liều', 'ngày', 'Aspegic cho']</t>
  </si>
  <si>
    <t>[0.5464, 0.5669, 0.6003, 0.4866, 0.6967]</t>
  </si>
  <si>
    <t>['Aspegic cho', 'Liều']</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</si>
  <si>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</si>
  <si>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</si>
  <si>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có hình thù xù xì, không bắt mắt, trong khi nấm lim xanh trồng nhân tạo lại có bề ngoài bắt mắt, màu sắc đẹp, thu hút cùng bề mặt nhẵn mịn.</t>
  </si>
  <si>
    <t>['Nấm', 'lim', 'xanh', 'điểm khác biệt']</t>
  </si>
  <si>
    <t>[0.605, 0.551, 0.5937, 0.4633]</t>
  </si>
  <si>
    <t>['Nấm']</t>
  </si>
  <si>
    <t>Nấm lim xanh tự nhiên có hình thù xù xì, không bắt mắt, còn nấm lim xanh trồng nhân tạo lại có bề ngoài bắt mắt, màu sắc đẹp, thu hút cùng bề mặt nhẵn min.</t>
  </si>
  <si>
    <t>Viêm tuyến giáp bán cấp là gì?</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</si>
  <si>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</si>
  <si>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Viêm tuyến giáp bán cấp là viêm giáp gây đau thường gặp nhất trên lâm sàng.</t>
  </si>
  <si>
    <t>['Viêm', 'giáp', 'tuyến']</t>
  </si>
  <si>
    <t>[0.6428, 0.7188, 0.5879]</t>
  </si>
  <si>
    <t>['giáp', 'Viêm']</t>
  </si>
  <si>
    <t>Viêm tuyến giáp bán cấp là tình trạng bệnh lý đặc trưng bởi sự thấm nhuận các tế bào viêm hoặc mô xơ ở tuyến giáp bị viêm.</t>
  </si>
  <si>
    <t>Trong những tháng nào người ta thu hoạch sâm tố nữ?</t>
  </si>
  <si>
    <t>- Dược liệu được tìm thấy nhiều ở những vùng đồi núi phía bắc Thái Lan. Ngoài ra, dược liệu này còn phân bố nhiều ở các khu vực Đông Nam Á.
- Người ta thu hoạch sâm tố nữ vào tháng 10 – 12.1</t>
  </si>
  <si>
    <t>Người ta thường thu hoạch sâm tố nữ vào tháng 10 – 12.</t>
  </si>
  <si>
    <t>['Dược', 'Thái Lan', 'nào người', 'thu hoạch', 'Trong những', 'người ta thu']</t>
  </si>
  <si>
    <t>[0.4931, 0.526, 0.413, 0.5831, 0.4752, 0.5401]</t>
  </si>
  <si>
    <t>Người ta thu hoạch sâm tố nữ vào tháng 10 – 12.1.</t>
  </si>
  <si>
    <t>Bác sĩ sẽ thực hiện mấy giai đoạn để điều trị hội chứng thiểu sản tim trái?</t>
  </si>
  <si>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</si>
  <si>
    <t>Bác sĩ phẫu thuật sẽ thực hiện quá trình gồm có ba giai đoạn.</t>
  </si>
  <si>
    <t>['tim', 'điều trị', 'thực hiện', 'phẫu thuật', 'mấy giai đoạn', 'hiện mấy giai']</t>
  </si>
  <si>
    <t>[0.4923, 0.6141, 0.5112, 0.5899, 0.5438, 0.4615]</t>
  </si>
  <si>
    <t>['điều trị']</t>
  </si>
  <si>
    <t>Bác sĩ sẽ thực hiện ba giai đoạn để điều trị hội chứng thiểu sản tim trái.</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</si>
  <si>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</si>
  <si>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</si>
  <si>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Sự lây lan của ung thư vào các cấu trúc gần đó.</t>
  </si>
  <si>
    <t>['những xét', 'Ngoài chẩn', 'xét nghiệm', 'nghiệm hình', 'thể phát hiện', 'hiện tình trạng']</t>
  </si>
  <si>
    <t>[0.511, 0.4976, 0.6158, 0.6294, 0.6029, 0.482]</t>
  </si>
  <si>
    <t>['nghiệm hình', 'xét nghiệm', 'thể phát hiện']</t>
  </si>
  <si>
    <t>Các xét nghiệm hình ảnh có thể phát hiện sự lây lan của ung thư vào các cấu trúc gần đó.</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</si>
  <si>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</si>
  <si>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</si>
  <si>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Sốt thấp khớp có thể gây ra những tổn thương nghiêm trọng ở tim, đặc biệt là van tim.</t>
  </si>
  <si>
    <t>['tim', 'van', 'thể', 'tổn', 'thương']</t>
  </si>
  <si>
    <t>[0.4218, 0.422, 0.4597, 0.5694, 0.5043]</t>
  </si>
  <si>
    <t>['gây', 'các']</t>
  </si>
  <si>
    <t>Sốt thấp khớp có thể gây tổn thương cơ tim, ảnh hưởng đến khả năng bơm máu của tim.</t>
  </si>
  <si>
    <t>Nên lưu ý gì khi sử dụng Calcrem?</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</si>
  <si>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</si>
  <si>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Khi sử dụng Calcrem, bạn cần lưu ý không để thuốc dây vào mắt, mũi, miệng. Nếu có tình trạng kích ứng hoặc mẫn cảm, hãy ngừng điều trị và thay bằng thuốc khác.</t>
  </si>
  <si>
    <t>['lưu', 'rát', 'mũi', 'ngứa', 'miệng', 'Calcrem']</t>
  </si>
  <si>
    <t>[0.4828, 0.5034, 0.5074, 0.5105, 0.4816, 0.7685]</t>
  </si>
  <si>
    <t>['Calcrem']</t>
  </si>
  <si>
    <t>['Nên', 'dụng']</t>
  </si>
  <si>
    <t>Tránh dùng Calcrem vào mắt, mũi, miệng.</t>
  </si>
  <si>
    <t>Khi sắc thuốc chữa viêm lợi, nên sắc rễ cây Nổ đặc tới mức nào?</t>
  </si>
  <si>
    <t>Chuẩn bị: Rễ cây Nổ. Thực hiện: Sắc lấy nước đặc, đem ngậm súc miệng và nhổ đi.</t>
  </si>
  <si>
    <t>Nên sắc rễ cây Nổ lấy nước đặc.</t>
  </si>
  <si>
    <t>['mức nào', 'viêm lợi', 'chữa viêm', 'thuốc chữa', 'đặc tới mức', 'Khi sắc thuốc']</t>
  </si>
  <si>
    <t>[0.4789, 0.6087, 0.656, 0.6032, 0.5209, 0.6623]</t>
  </si>
  <si>
    <t>['Khi sắc thuốc', 'chữa viêm', 'viêm lợi', 'thuốc chữa']</t>
  </si>
  <si>
    <t>Khi sắc thuốc chữa viêm lợi, nên sắc rễ cây Nổ đặc tới mức ngậm súc miệng và nhổ đi.</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</si>
  <si>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</si>
  <si>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</si>
  <si>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có tác dụng gây tẩy nhẹ.</t>
  </si>
  <si>
    <t>['sắc Bán', 'tác dụng', 'Bán biên', 'học hiện đại', 'biên liên theo']</t>
  </si>
  <si>
    <t>[0.5948, 0.6307, 0.5888, 0.461, 0.568]</t>
  </si>
  <si>
    <t>['tác dụng']</t>
  </si>
  <si>
    <t>Tác dụng của nước sắc Bán biên liên là gây tẩy nhẹ.</t>
  </si>
  <si>
    <t>Trong những trường hợp nào không nên dùng thuốc Carflem?</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</si>
  <si>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</si>
  <si>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</si>
  <si>
    <t>['Trong những', 'hợp nào không', 'nào không nên', 'thuốc Carflem', 'trường hợp nào', 'không nên dùng', 'nên dùng thuốc', 'những trường hợp']</t>
  </si>
  <si>
    <t>[0.4542, 0.4953, 0.5916, 0.846, 0.4938, 0.6221, 0.6598, 0.5424]</t>
  </si>
  <si>
    <t>['thuốc Carflem']</t>
  </si>
  <si>
    <t>Không nên dùng thuốc Carflem nếu bạn đang dùng các thuốc giảm đau không steroid, steroid và các thuốc kháng tiểu cầu (clopidogrel, ticagrelor,…) do làm tăng nguy cơ chảy máu đường tiêu hóa và loét dạ dày, tá tràng.</t>
  </si>
  <si>
    <t>Các thành viên trong gia đình cần lưu ý điều gì khi chăm sóc người bệnh mắc sốt xuất huyết Lassa?</t>
  </si>
  <si>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</si>
  <si>
    <t>Khi chăm sóc người bệnh mắc sốt xuất huyết Lassa, các thành viên trong gia đình cần cẩn thận, tránh tiếp xúc với máu và dịch cơ thể của người bệnh.</t>
  </si>
  <si>
    <t>['xuất huyết', 'huyết Lassa', 'mắc sốt xuất', 'bệnh mắc sốt', 'đình cần lưu', 'chăm sóc người']</t>
  </si>
  <si>
    <t>[0.5933, 0.7877, 0.6527, 0.643, 0.4906, 0.5631]</t>
  </si>
  <si>
    <t>['huyết Lassa']</t>
  </si>
  <si>
    <t>Các thành viên trong gia đình cần cẩn thận, tránh tiếp xúc với máu và dịch cơ thể khi chăm sóc người bệnh mắc sốt xuất huyết Lassa.</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</si>
  <si>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</si>
  <si>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</si>
  <si>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Để duy trì độ pH của cơ thể hơi kiềm, nên ăn khoảng 60 – 80% thực phẩm tạo kiềm, khoảng 20 – 40% thực phẩm tạo axit.</t>
  </si>
  <si>
    <t>['thể', 'kiềm', 'Làm sao', 'ảnh hưởng đến']</t>
  </si>
  <si>
    <t>[0.517, 0.595, 0.4342, 0.4434]</t>
  </si>
  <si>
    <t>['của', 'trong']</t>
  </si>
  <si>
    <t>Ciprobay có mấy hàm lượng khác nhau?</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</si>
  <si>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</si>
  <si>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Ciprobay có 3 hàm lượng là 250, 500, 750 mg.</t>
  </si>
  <si>
    <t>['mấy hàm', 'khác nhau', 'hàm lượng', 'lượng khác', 'Ciprobay có mấy', 'thuộc nhóm quinolon', 'Ciprofloxacin thuộc nhóm']</t>
  </si>
  <si>
    <t>[0.5487, 0.5038, 0.5756, 0.5915, 0.8648, 0.6255, 0.7394]</t>
  </si>
  <si>
    <t>['Ciprobay có mấy', 'Ciprofloxacin thuộc nhóm']</t>
  </si>
  <si>
    <t>Ciprobay có 3 hàm lượng khác nhau là 250, 500, 750 mg.</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</si>
  <si>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</si>
  <si>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</si>
  <si>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Ban đỏ khi mắc hội chứng sốc nhiễm độc nổi lên khắp cơ thể, giống như bị bỏng nắng.</t>
  </si>
  <si>
    <t>['mắc hội', 'đặc điểm', 'sốc nhiễm', 'hội chứng', 'chứng sốc', 'nhiễm độc']</t>
  </si>
  <si>
    <t>[0.591, 0.5313, 0.7769, 0.6799, 0.7896, 0.7367]</t>
  </si>
  <si>
    <t>['chứng sốc', 'sốc nhiễm', 'nhiễm độc', 'hội chứng']</t>
  </si>
  <si>
    <t>Ban đỏ khi mắc hội chứng sốc nhiễm độc có đặc điểm nổi bật là nổi ban đỏ như bị bỏng nắng ở khắp cơ thể.</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</si>
  <si>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</si>
  <si>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</si>
  <si>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Triệu chứng bất thường lượng đường trong máu liên quan đến bệnh Addison là lượng đường trong máu thấp nguy hiểm (hạ đường huyết).</t>
  </si>
  <si>
    <t>['Addison', 'liên quan', 'Triệu chứng', 'đường trong', 'trong máu liên']</t>
  </si>
  <si>
    <t>[0.7291, 0.4541, 0.5996, 0.4671, 0.5558]</t>
  </si>
  <si>
    <t>['Addison']</t>
  </si>
  <si>
    <t>Bệnh Addison có thể gây ra tình trạng lượng đường trong máu thấp nguy hiểm (hạ đường huyết).</t>
  </si>
  <si>
    <t>Ngoài triterpene glycoside và alkaloid, lá cây Gáo còn chứa thành phần nào khác?</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</si>
  <si>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</si>
  <si>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Ngoài triterpene glycoside và alkaloid, lá cây Gáo còn chứa β sitosterol và acid palmitic.</t>
  </si>
  <si>
    <t>['cây Gáo', 'nào khác', 'thành phần', 'triterpene glycoside']</t>
  </si>
  <si>
    <t>[0.7892, 0.4307, 0.6119, 0.7252]</t>
  </si>
  <si>
    <t>['cây Gáo', 'triterpene glycoside']</t>
  </si>
  <si>
    <t>Ngoài triterpene glycoside và alkaloid, lá cây Gáo còn chứa thành phần β sitosterol, acid palmitic.</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</si>
  <si>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</si>
  <si>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</si>
  <si>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Cơn động kinh co giật sẽ khiến cho các cơ của người đó bị giật và co thắt. Các cơ ở khuỷu tay, chân, cổ bị co lại và sau đó dãn ra nhanh chóng.</t>
  </si>
  <si>
    <t>['Cơn', 'động', 'kinh']</t>
  </si>
  <si>
    <t>[0.4951, 0.6148, 0.6034]</t>
  </si>
  <si>
    <t>['động', 'kinh']</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</si>
  <si>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</si>
  <si>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</si>
  <si>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</si>
  <si>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</si>
  <si>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['liều', 'Người', 'Làm thế', 'Điều trị', 'Azibiotic', 'Azithromycin']</t>
  </si>
  <si>
    <t>[0.5128, 0.4199, 0.4661, 0.5249, 0.7767, 0.7264]</t>
  </si>
  <si>
    <t>['Azibiotic', 'Azithromycin']</t>
  </si>
  <si>
    <t>['Làm thế nào', 'thế nào']</t>
  </si>
  <si>
    <t>Saponin triterpene trong Ngũ gia bì có tác dụng gì?</t>
  </si>
  <si>
    <t>Ngũ gia bì có chứa khoảng 0,9 – 1% tinh dầu, saponin triterpene.</t>
  </si>
  <si>
    <t>Saponin triterpene trong Ngũ gia bì có tác dụng kháng khuẩn, chống viêm và hạ sốt.</t>
  </si>
  <si>
    <t>['Ngũ', 'Saponin', 'tác dụng', 'triterpene trong']</t>
  </si>
  <si>
    <t>[0.6243, 0.7307, 0.5563, 0.7489]</t>
  </si>
  <si>
    <t>['triterpene trong', 'Saponin', 'Ngũ']</t>
  </si>
  <si>
    <t>Saponin triterpene trong Ngũ gia bì có tác dụng làm giảm đau và làm giảm tình trạng viêm.</t>
  </si>
  <si>
    <t>Nguyên nhân chính gây viêm khớp nhiễm trùng là gì?</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</si>
  <si>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</si>
  <si>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Viêm khớp nhiễm trùng có nguyên nhân chính là vi trùng, virus hoặc nấm.</t>
  </si>
  <si>
    <t>['khớp', 'Nguyên', 'nhân chính', 'nhiễm trùng', 'chính gây viêm']</t>
  </si>
  <si>
    <t>[0.7162, 0.4521, 0.4502, 0.7077, 0.7247]</t>
  </si>
  <si>
    <t>['chính gây viêm', 'khớp', 'nhiễm trùng']</t>
  </si>
  <si>
    <t>Nguyên nhân chính gây viêm khớp nhiễm trùng là vi trùng, virus hoặc nấm.</t>
  </si>
  <si>
    <t>Nếu thời điểm nhớ quên thuốc Cefurobiotic lại gần với liều tiếp theo thì nên làm gì?</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</si>
  <si>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</si>
  <si>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Nếu gần với liều kế tiếp, bỏ qua liều đã quên và uống liều kế tiếp vào thời điểm như kế hoạch.</t>
  </si>
  <si>
    <t>['theo thì', 'thì nên làm', 'lại gần với', 'Cefurobiotic lại']</t>
  </si>
  <si>
    <t>[0.5122, 0.4882, 0.4918, 0.7422]</t>
  </si>
  <si>
    <t>['Cefurobiotic lại']</t>
  </si>
  <si>
    <t>Nếu thời điểm nhớ quên thuốc Cefurobiotic lại gần với liều kế tiếp, hãy bỏ qua liều đã quên và uống liều kế tiếp vào thời điểm như kế hoạch.</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</si>
  <si>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</si>
  <si>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</si>
  <si>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Người lái xe và người vận hành máy móc vẫn có thể sử dụng thuốc Casalmux vì thuốc hiếm khi gây ra tác dụng phụ đau đầu. Tuy nhiên, nên thận trọng khi dùng vì vẫn có thể xảy ra tác dụng phụ này.</t>
  </si>
  <si>
    <t>['Người', 'hay không', 'Casalmux hay', 'vận hành máy', 'hành máy móc', 'thuốc Casalmux']</t>
  </si>
  <si>
    <t>[0.5097, 0.4813, 0.6624, 0.5137, 0.5527, 0.7805]</t>
  </si>
  <si>
    <t>['thuốc Casalmux']</t>
  </si>
  <si>
    <t>Thuốc Casalmux hiếm khi gây ra tác dụng đau đầu trên người dùng thuốc. Do đó, vẫn có thể sử dụng cho người lái xe hoặc người vận hành máy móc. Tuy nhiên, dù hiếm nhưng vẫn có thể xảy ra. Do đó, nên thận trọng khi dùng.</t>
  </si>
  <si>
    <t>Để Mộc thông mềm, cần làm gì tiếp theo sau các bước loại bỏ tạp chất, rửa sạch?</t>
  </si>
  <si>
    <t>Mộc thông đem về loại bỏ tạp chất, rửa sạch, ngâm trong nước, ủ mềm. Thái lát sau đó phơi hoặc sấy khô là được.</t>
  </si>
  <si>
    <t>Để có được Mộc thông mềm, cần ngâm trong nước và ủ cho mềm trước khi thái lát.</t>
  </si>
  <si>
    <t>['cần làm', 'rửa sạch', 'tạp chất', 'Mộc thông', 'loại bỏ tạp', 'theo sau các', 'sau các bước', 'các bước loại', 'tiếp theo sau']</t>
  </si>
  <si>
    <t>[0.5168, 0.6966, 0.6363, 0.6858, 0.6685, 0.5177, 0.6161, 0.5843, 0.5112]</t>
  </si>
  <si>
    <t>['rửa sạch', 'Mộc thông', 'loại bỏ tạp', 'tạp chất']</t>
  </si>
  <si>
    <t>Để Mộc thông mềm, cần ngâm trong nước, ủ mềm.</t>
  </si>
  <si>
    <t>Viêm mí mắt là gì?</t>
  </si>
  <si>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</si>
  <si>
    <t>Viêm mí mắt là tình trạng mi mắt bị viêm nhiễm, thường xuất phát từ các tuyến dầu nhờn rất nhỏ ở gốc lông mi hoặc vi khuẩn có trên da.</t>
  </si>
  <si>
    <t>['mắt', 'Cảm', 'hoặc', 'Chảy nước']</t>
  </si>
  <si>
    <t>[0.7392, 0.5389, 0.4381, 0.5002]</t>
  </si>
  <si>
    <t>['mắt']</t>
  </si>
  <si>
    <t>Viêm mí mắt là tình trạng mắt bị sưng, đỏ, chảy nước mắt, ngứa, nhạy cảm với ánh sáng, có bọt hoặc bọt nhỏ trong đó, mắt bị khô, mí mắt hoặc lông mi sần sùi khi thức dậy.</t>
  </si>
  <si>
    <t>Sử dụng một số thuốc gây tăng axit dạ dày có thể dẫn đến tình trạng gì?</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</si>
  <si>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</si>
  <si>
    <t>Sử dụng một số thuốc gây tăng axit dạ dày có thể dẫn đến tình trạng nóng rát dạ dày.</t>
  </si>
  <si>
    <t>['thuốc', 'dẫn đến', 'thể gây', 'đến tình', 'tình trạng', 'gây nóng rát']</t>
  </si>
  <si>
    <t>[0.6324, 0.4673, 0.5474, 0.4408, 0.471, 0.6258]</t>
  </si>
  <si>
    <t>['thuốc', 'gây nóng rát']</t>
  </si>
  <si>
    <t>Cách dùng cây đuôi chuột như thế nào?</t>
  </si>
  <si>
    <t>Dùng cỏ đuôi chuột tươi, đem ngâm rửa với nước muối cho sạch. Sau đó để ráo, giã nát và thêm đường vào, ngậm nuốt lấy nước.</t>
  </si>
  <si>
    <t>['Cách dùng', 'đuôi chuột', 'chuột như thế', 'dùng cây đuôi']</t>
  </si>
  <si>
    <t>[0.6338, 0.7716, 0.604, 0.7624]</t>
  </si>
  <si>
    <t>['đuôi chuột', 'dùng cây đuôi']</t>
  </si>
  <si>
    <t>['như thế nào', 'thế nào', 'như thế']</t>
  </si>
  <si>
    <t>Ngâm cỏ đuôi chuột tươi với nước muối cho sạch, để ráo, giã nát và thêm đường vào, ngậm nuốt lấy nước.</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</si>
  <si>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</si>
  <si>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</si>
  <si>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Sử dụng thuốc chống động kinh suốt đời là cần thiết để ngăn chặn cơn động kinh ở một số trẻ bị động kinh vắng ý thức.</t>
  </si>
  <si>
    <t>['động kinh', 'kinh suốt đời', 'trường hợp nào', 'cần thiết trong', 'thuốc chống động', 'trong trường hợp', 'dụng thuốc chống', 'thiết trong trường']</t>
  </si>
  <si>
    <t>[0.6865, 0.6735, 0.5233, 0.5427, 0.7014, 0.4854, 0.6426, 0.4466]</t>
  </si>
  <si>
    <t>['thuốc chống động', 'động kinh', 'kinh suốt đời', 'dụng thuốc chống']</t>
  </si>
  <si>
    <t>Sử dụng thuốc chống động kinh suốt đời là cần thiết trong trường hợp trẻ diễn tiến đến co giật toàn bộ, như động kinh co cứng – co giật.</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</si>
  <si>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</si>
  <si>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</si>
  <si>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Các nhà hoạt động trị liệu có thể hỗ trợ người bệnh, người nhà và người chăm sóc sử dụng những dụng cụ hỗ trợ để cải thiện chức năng sinh hoạt của người bệnh.</t>
  </si>
  <si>
    <t>['thể', 'bệnh', 'liệu', 'người', 'cải thiện']</t>
  </si>
  <si>
    <t>[0.5065, 0.5881, 0.4805, 0.4818, 0.6458]</t>
  </si>
  <si>
    <t>['cải thiện']</t>
  </si>
  <si>
    <t>['những', 'dụng']</t>
  </si>
  <si>
    <t>Các chuyên viên vật lí trị liệu có thể hướng dẫn những bài tập an toàn, thích hợp.</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</si>
  <si>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</si>
  <si>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</si>
  <si>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</si>
  <si>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'hợp nào', 'trường hợp', 'thì Bisoloc']</t>
  </si>
  <si>
    <t>[0.4463, 0.4604, 0.5183, 0.8471]</t>
  </si>
  <si>
    <t>['thì Bisoloc']</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</si>
  <si>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</si>
  <si>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</si>
  <si>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</si>
  <si>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['Giảm', 'khớp', 'háng', 'vai trò', 'trò gì trong', 'đổi lối sống', 'Thay đổi lối']</t>
  </si>
  <si>
    <t>[0.4872, 0.6643, 0.4461, 0.4356, 0.396, 0.4647, 0.4665]</t>
  </si>
  <si>
    <t>['khớp']</t>
  </si>
  <si>
    <t>['các']</t>
  </si>
  <si>
    <t>Vật lý trị liệu giúp tăng khả năng vận động và độ dẻo dai, cũng như tăng cường sức mạnh của cơ ở chân và háng.</t>
  </si>
  <si>
    <t>Rau ngót được sử dụng để chữa bệnh gì?</t>
  </si>
  <si>
    <t>Lá rau ngót tươi rửa sạch giã nát, vắt lấy nước trộn với mật ong. Lấy gạc chấm vào hỗn hợp trên rồi bôi đều lên lưỡi ngày 3- 4 lần.</t>
  </si>
  <si>
    <t>Rau ngót được sử dụng để chữa bệnh tưa lưỡi.</t>
  </si>
  <si>
    <t>['Rau', 'ngót', 'chữa bệnh', 'được sử dụng', 'dụng để chữa']</t>
  </si>
  <si>
    <t>[0.599, 0.6624, 0.603, 0.5349, 0.638]</t>
  </si>
  <si>
    <t>['ngót', 'dụng để chữa', 'chữa bệnh']</t>
  </si>
  <si>
    <t>Rau ngót được sử dụng để chữa bệnh viêm lợi.</t>
  </si>
  <si>
    <t>Giai đoạn 1B của ung thư vú có đặc điểm gì?</t>
  </si>
  <si>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</si>
  <si>
    <t>Trong giai đoạn 1B, ung thư được tìm thấy trong các hạch bạch huyết gần đó nhưng không có khối u ở vú hoặc khối u nhỏ hơn 2 cm.</t>
  </si>
  <si>
    <t>['Giai', 'đoạn', 'của ung', 'ung thư', 'đặc điểm', 'hạch bạch']</t>
  </si>
  <si>
    <t>[0.4569, 0.5543, 0.5164, 0.6433, 0.4556, 0.4853]</t>
  </si>
  <si>
    <t>Ung thư được tìm thấy trong các hạch bạch huyết gần đó và không có khối u ở vú hoặc khối u nhỏ hơn 2 cm.</t>
  </si>
  <si>
    <t>Tại sao nên chăm sóc sức khỏe vùng chậu?</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</si>
  <si>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</si>
  <si>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Vùng chậu chứa nhiều cơ quan quan trọng, đặc biệt là các cơ quan sinh sản. Chăm sóc giữ gìn, đặc biệt nhận biết các bất thường liên quan đến vùng chậu là cách để bảo vệ sức khỏe sinh sản bản thân.</t>
  </si>
  <si>
    <t>['vùng', 'chậu', 'sao nên', 'sức khỏe', 'sinh sản', 'nên chăm sóc']</t>
  </si>
  <si>
    <t>[0.6194, 0.6414, 0.5055, 0.6027, 0.5545, 0.6183]</t>
  </si>
  <si>
    <t>['chậu', 'vùng', 'nên chăm sóc', 'sức khỏe']</t>
  </si>
  <si>
    <t>['Tại sao']</t>
  </si>
  <si>
    <t>Chăm sóc sức khỏe vùng chậu giúp bảo vệ sức khỏe sinh sản, ngăn ngừa các vấn đề về sức khỏe liên quan đến vùng chậu.</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</si>
  <si>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</si>
  <si>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</si>
  <si>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Đau lưng giảm khi cơn đau lan dọc xuống chân xuất hiện.</t>
  </si>
  <si>
    <t>['đau', 'đĩa đệm', 'triệu chứng', 'khi nào cơn', 'đệm cột sống', 'Trong trường', 'cột sống thắt', 'sống thắt lưng']</t>
  </si>
  <si>
    <t>[0.5479, 0.6291, 0.5698, 0.5601, 0.7292, 0.3806, 0.6923, 0.6039]</t>
  </si>
  <si>
    <t>['đệm cột sống', 'cột sống thắt', 'đĩa đệm', 'sống thắt lưng']</t>
  </si>
  <si>
    <t>Khi đau lan dọc xuống chân thì đau lưng giảm.</t>
  </si>
  <si>
    <t>Để tránh tác dụng phụ không mong muốn, liều lượng tối ưu cho mục đích sử dụng sâm tố nữ cần được xác định như thế nào?</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</si>
  <si>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</si>
  <si>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Để tránh tác dụng phụ không mong muốn, liều lượng tối ưu cho mục đích sử dụng sâm tố nữ cần được tính toán trước.</t>
  </si>
  <si>
    <t>['xác định như', 'định như thế', 'cho mục đích', 'tác dụng phụ', 'được xác định', 'tránh tác dụng', 'dụng phụ không', 'không mong muốn']</t>
  </si>
  <si>
    <t>[0.4771, 0.4515, 0.5625, 0.6162, 0.4827, 0.5803, 0.6043, 0.4611]</t>
  </si>
  <si>
    <t>['tác dụng phụ', 'dụng phụ không']</t>
  </si>
  <si>
    <t>Liều lượng tối ưu cho mục đích sử dụng sâm tố nữ cần được tính toán trước để tránh tác dụng phụ không mong muốn.</t>
  </si>
  <si>
    <t>Trong trường hợp sử dụng thuốc Acritel quá liều, cần phải làm gì?</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</si>
  <si>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</si>
  <si>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Cần báo ngay cho cơ sở y tế địa phương, hoặc bác sĩ hoặc sĩ ngay khi phát hiện tình trạng sử dụng thuốc quá liều để kịp thời xử lý.</t>
  </si>
  <si>
    <t>['Acritel', 'quá liều', 'cần phải làm', 'Trong trường']</t>
  </si>
  <si>
    <t>[0.7651, 0.683, 0.4637, 0.4159]</t>
  </si>
  <si>
    <t>['Acritel', 'quá liều']</t>
  </si>
  <si>
    <t>Trong trường hợp sử dụng thuốc Acritel quá liều, cần báo ngay cho cơ sở y tế địa phương, hoặc bác sĩ hoặc sĩ ngay khi phát hiện tình trạng sử dụng thuốc quá liều để kịp thời xử lý.</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</si>
  <si>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</si>
  <si>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</si>
  <si>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Thường kéo dài từ 6 – 48 giờ, tối đa 5 ngày.</t>
  </si>
  <si>
    <t>['thể', 'Thời', 'đến bao', 'bao nhiêu', 'nhiêu ngày', 'kéo dài đến']</t>
  </si>
  <si>
    <t>[0.4795, 0.5508, 0.5015, 0.5229, 0.6868, 0.6201]</t>
  </si>
  <si>
    <t>['nhiêu ngày', 'kéo dài đến']</t>
  </si>
  <si>
    <t>Thời kỳ ủ bệnh tả có thể kéo dài đến tối đa 5 ngày.</t>
  </si>
  <si>
    <t>Tỷ lệ khối u thần kinh nội tiết được tìm thấy trong tuyến tụy là bao nhiêu?</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</si>
  <si>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</si>
  <si>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t>
  </si>
  <si>
    <t>['tuyến tụy', 'thần kinh', 'được tìm thấy', 'tiết được tìm', 'nội tiết được', 'kinh nội tiết', 'tìm thấy trong', 'thấy trong tuyến']</t>
  </si>
  <si>
    <t>[0.75, 0.5939, 0.5361, 0.554, 0.6893, 0.7302, 0.6064, 0.6012]</t>
  </si>
  <si>
    <t>['tuyến tụy', 'kinh nội tiết', 'nội tiết được', 'tìm thấy trong']</t>
  </si>
  <si>
    <t>Khoảng 7% khối U thần kinh nội tiết được tìm thấy trong tuyến tụy.</t>
  </si>
  <si>
    <t>Cơm rượu được dùng trong bài thuốc nào?</t>
  </si>
  <si>
    <t>Rễ, lá, cành non Cơm rượu, mỗi thứ 40g, sao qua, tán nhỏ rồi sắc đặc uống vào lúc đói, ngày 3 lần. Khi uống thêm 30ml rượu trắng.</t>
  </si>
  <si>
    <t>Cơm rượu được dùng trong bài thuốc dành cho phụ nữ sau sinh bị tích huyết trong tử cung, ăn chậm tiêu, bụng trướng.</t>
  </si>
  <si>
    <t>['thuốc nào', 'được dùng', 'trong bài', 'dùng trong', 'Cơm rượu được']</t>
  </si>
  <si>
    <t>[0.5878, 0.525, 0.4753, 0.5512, 0.7462]</t>
  </si>
  <si>
    <t>['Cơm rượu được']</t>
  </si>
  <si>
    <t>Cơm rượu được dùng trong bài thuốc chữa đau bụng, tiêu chảy.</t>
  </si>
  <si>
    <t>Có những loại thuốc nào có khả năng làm trầm trọng hơn tình trạng chảy máu khi sử dụng chung với Clopias?</t>
  </si>
  <si>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</si>
  <si>
    <t>Thuốc chống đông dạng uống, heparin.</t>
  </si>
  <si>
    <t>['chảy máu', 'trầm trọng hơn', 'trọng hơn tình', 'hơn tình trạng', 'làm trầm trọng', 'loại thuốc nào', 'tình trạng chảy', 'những loại thuốc', 'chung với Clopias']</t>
  </si>
  <si>
    <t>[0.6964, 0.5571, 0.4444, 0.4868, 0.5363, 0.5812, 0.6026, 0.5942, 0.7413]</t>
  </si>
  <si>
    <t>['chung với Clopias', 'chảy máu', 'tình trạng chảy']</t>
  </si>
  <si>
    <t>Extract_EN_Avg-Score
Simple filter</t>
  </si>
  <si>
    <t>Extract_EN_Avg-Score
Advanced filter</t>
  </si>
  <si>
    <t>Diff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</si>
</sst>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amily val="2"/>
    </font>
    <font>
      <b/>
      <sz val="11"/>
      <color theme="1"/>
      <name val="Arial"/>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2" fillId="0" borderId="0" xfId="0" applyFont="1" applyAlignment="1">
      <alignment horizontal="center"/>
    </xf>
    <xf numFmtId="2" fontId="0" fillId="0" borderId="0" xfId="0" applyNumberFormat="1" applyFont="1"/>
    <xf numFmtId="0" fontId="0" fillId="0" borderId="0" xfId="0" applyFont="1"/>
  </cellXfs>
  <cellStyles count="1">
    <cellStyle name="Normal" xfId="0" builtinId="0"/>
  </cellStyles>
  <dxfs count="5">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2"/>
  <sheetViews>
    <sheetView tabSelected="1" zoomScale="120" zoomScaleNormal="120" workbookViewId="0">
      <selection activeCell="R56" sqref="R56"/>
    </sheetView>
  </sheetViews>
  <sheetFormatPr defaultRowHeight="14" x14ac:dyDescent="0.3"/>
  <cols>
    <col min="20" max="20" width="8.6640625" style="5"/>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367</v>
      </c>
      <c r="S1" s="1" t="s">
        <v>366</v>
      </c>
      <c r="T1" s="3" t="s">
        <v>368</v>
      </c>
    </row>
    <row r="2" spans="1:22" x14ac:dyDescent="0.3">
      <c r="A2">
        <v>24</v>
      </c>
      <c r="B2" t="s">
        <v>17</v>
      </c>
      <c r="C2" t="s">
        <v>18</v>
      </c>
      <c r="D2" t="s">
        <v>185</v>
      </c>
      <c r="E2" t="s">
        <v>186</v>
      </c>
      <c r="F2" t="s">
        <v>187</v>
      </c>
      <c r="G2" t="s">
        <v>188</v>
      </c>
      <c r="H2" t="s">
        <v>189</v>
      </c>
      <c r="I2">
        <v>1</v>
      </c>
      <c r="J2" t="s">
        <v>190</v>
      </c>
      <c r="K2">
        <v>0.2</v>
      </c>
      <c r="L2" t="s">
        <v>25</v>
      </c>
      <c r="M2" t="s">
        <v>191</v>
      </c>
      <c r="N2">
        <v>0.5625</v>
      </c>
      <c r="O2">
        <v>0.4501</v>
      </c>
      <c r="P2">
        <v>0.5675</v>
      </c>
      <c r="Q2">
        <v>0.88580000000000003</v>
      </c>
      <c r="R2">
        <v>0.61650000000000005</v>
      </c>
      <c r="S2">
        <v>1</v>
      </c>
      <c r="T2" s="4">
        <f>R2-S2</f>
        <v>-0.38349999999999995</v>
      </c>
    </row>
    <row r="3" spans="1:22" x14ac:dyDescent="0.3">
      <c r="A3">
        <v>18</v>
      </c>
      <c r="B3" t="s">
        <v>17</v>
      </c>
      <c r="C3" t="s">
        <v>18</v>
      </c>
      <c r="D3" t="s">
        <v>144</v>
      </c>
      <c r="E3" t="s">
        <v>145</v>
      </c>
      <c r="F3" t="s">
        <v>146</v>
      </c>
      <c r="G3" t="s">
        <v>147</v>
      </c>
      <c r="H3" t="s">
        <v>148</v>
      </c>
      <c r="I3">
        <v>0.6</v>
      </c>
      <c r="J3" t="s">
        <v>149</v>
      </c>
      <c r="K3">
        <v>0.33329999999999999</v>
      </c>
      <c r="L3" t="s">
        <v>25</v>
      </c>
      <c r="M3" t="s">
        <v>150</v>
      </c>
      <c r="N3">
        <v>0.71430000000000005</v>
      </c>
      <c r="O3">
        <v>0.39829999999999999</v>
      </c>
      <c r="P3">
        <v>0.89990000000000003</v>
      </c>
      <c r="Q3">
        <v>0.91300000000000003</v>
      </c>
      <c r="R3">
        <v>0.73140000000000005</v>
      </c>
      <c r="S3">
        <v>0.99990000000000001</v>
      </c>
      <c r="T3" s="4">
        <f>R3-S3</f>
        <v>-0.26849999999999996</v>
      </c>
    </row>
    <row r="4" spans="1:22" x14ac:dyDescent="0.3">
      <c r="A4">
        <v>35</v>
      </c>
      <c r="B4" t="s">
        <v>17</v>
      </c>
      <c r="C4" t="s">
        <v>18</v>
      </c>
      <c r="D4" t="s">
        <v>261</v>
      </c>
      <c r="E4" t="s">
        <v>262</v>
      </c>
      <c r="F4" t="s">
        <v>262</v>
      </c>
      <c r="G4" t="s">
        <v>263</v>
      </c>
      <c r="H4" t="s">
        <v>264</v>
      </c>
      <c r="I4">
        <v>0.25</v>
      </c>
      <c r="J4" t="s">
        <v>265</v>
      </c>
      <c r="K4">
        <v>1</v>
      </c>
      <c r="L4" t="s">
        <v>266</v>
      </c>
      <c r="M4" t="s">
        <v>267</v>
      </c>
      <c r="N4">
        <v>0.9</v>
      </c>
      <c r="O4">
        <v>0.62939999999999996</v>
      </c>
      <c r="P4">
        <v>0.82509999999999994</v>
      </c>
      <c r="Q4">
        <v>0.91600000000000004</v>
      </c>
      <c r="R4">
        <v>0.81759999999999999</v>
      </c>
      <c r="S4">
        <v>0.96330000000000005</v>
      </c>
      <c r="T4" s="4">
        <f>R4-S4</f>
        <v>-0.14570000000000005</v>
      </c>
    </row>
    <row r="5" spans="1:22" x14ac:dyDescent="0.3">
      <c r="A5">
        <v>36</v>
      </c>
      <c r="B5" t="s">
        <v>17</v>
      </c>
      <c r="C5" t="s">
        <v>18</v>
      </c>
      <c r="D5" t="s">
        <v>268</v>
      </c>
      <c r="E5" t="s">
        <v>269</v>
      </c>
      <c r="F5" t="s">
        <v>270</v>
      </c>
      <c r="G5" t="s">
        <v>271</v>
      </c>
      <c r="H5" t="s">
        <v>272</v>
      </c>
      <c r="I5">
        <v>0.5</v>
      </c>
      <c r="J5" t="s">
        <v>273</v>
      </c>
      <c r="K5">
        <v>1</v>
      </c>
      <c r="L5" t="s">
        <v>25</v>
      </c>
      <c r="M5" t="s">
        <v>274</v>
      </c>
      <c r="N5">
        <v>0.65820000000000001</v>
      </c>
      <c r="O5">
        <v>0.34250000000000003</v>
      </c>
      <c r="P5">
        <v>0.51129999999999998</v>
      </c>
      <c r="Q5">
        <v>0.82969999999999999</v>
      </c>
      <c r="R5">
        <v>0.58540000000000003</v>
      </c>
      <c r="S5">
        <v>0.71120000000000005</v>
      </c>
      <c r="T5" s="4">
        <f>R5-S5</f>
        <v>-0.12580000000000002</v>
      </c>
    </row>
    <row r="6" spans="1:22" x14ac:dyDescent="0.3">
      <c r="A6">
        <v>28</v>
      </c>
      <c r="B6" t="s">
        <v>17</v>
      </c>
      <c r="C6" t="s">
        <v>18</v>
      </c>
      <c r="D6" t="s">
        <v>213</v>
      </c>
      <c r="E6" t="s">
        <v>214</v>
      </c>
      <c r="F6" t="s">
        <v>215</v>
      </c>
      <c r="G6" t="s">
        <v>216</v>
      </c>
      <c r="H6" t="s">
        <v>217</v>
      </c>
      <c r="I6">
        <v>1</v>
      </c>
      <c r="J6" t="s">
        <v>218</v>
      </c>
      <c r="K6">
        <v>0.75</v>
      </c>
      <c r="L6" t="s">
        <v>25</v>
      </c>
      <c r="M6" t="s">
        <v>219</v>
      </c>
      <c r="N6">
        <v>0.56000000000000005</v>
      </c>
      <c r="O6">
        <v>0.45629999999999998</v>
      </c>
      <c r="P6">
        <v>0.65069999999999995</v>
      </c>
      <c r="Q6">
        <v>0.90720000000000001</v>
      </c>
      <c r="R6">
        <v>0.64359999999999995</v>
      </c>
      <c r="S6">
        <v>0.65720000000000001</v>
      </c>
      <c r="T6" s="4">
        <f>R6-S6</f>
        <v>-1.3600000000000056E-2</v>
      </c>
    </row>
    <row r="7" spans="1:22" hidden="1" x14ac:dyDescent="0.3">
      <c r="A7">
        <v>1</v>
      </c>
      <c r="B7" t="s">
        <v>17</v>
      </c>
      <c r="C7" t="s">
        <v>18</v>
      </c>
      <c r="D7" t="s">
        <v>27</v>
      </c>
      <c r="E7" t="s">
        <v>28</v>
      </c>
      <c r="F7" t="s">
        <v>29</v>
      </c>
      <c r="G7" t="s">
        <v>30</v>
      </c>
      <c r="H7" t="s">
        <v>31</v>
      </c>
      <c r="I7">
        <v>0.42859999999999998</v>
      </c>
      <c r="J7" t="s">
        <v>32</v>
      </c>
      <c r="K7">
        <v>0.33329999999999999</v>
      </c>
      <c r="L7" t="s">
        <v>25</v>
      </c>
      <c r="M7" t="s">
        <v>33</v>
      </c>
      <c r="N7">
        <v>0.52380000000000004</v>
      </c>
      <c r="O7">
        <v>0.15770000000000001</v>
      </c>
      <c r="P7">
        <v>0.38059999999999999</v>
      </c>
      <c r="Q7">
        <v>0.84360000000000002</v>
      </c>
      <c r="R7">
        <v>0.47639999999999999</v>
      </c>
      <c r="S7">
        <v>0.47639999999999999</v>
      </c>
      <c r="T7" s="4">
        <f>R7-S7</f>
        <v>0</v>
      </c>
      <c r="V7" s="2"/>
    </row>
    <row r="8" spans="1:22" hidden="1" x14ac:dyDescent="0.3">
      <c r="A8">
        <v>2</v>
      </c>
      <c r="B8" t="s">
        <v>17</v>
      </c>
      <c r="C8" t="s">
        <v>18</v>
      </c>
      <c r="D8" t="s">
        <v>34</v>
      </c>
      <c r="E8" t="s">
        <v>35</v>
      </c>
      <c r="F8" t="s">
        <v>36</v>
      </c>
      <c r="G8" t="s">
        <v>37</v>
      </c>
      <c r="H8" t="s">
        <v>38</v>
      </c>
      <c r="I8">
        <v>0.33329999999999999</v>
      </c>
      <c r="J8" t="s">
        <v>39</v>
      </c>
      <c r="K8">
        <v>0.5</v>
      </c>
      <c r="L8" t="s">
        <v>40</v>
      </c>
      <c r="M8" t="s">
        <v>41</v>
      </c>
      <c r="N8">
        <v>0.33329999999999999</v>
      </c>
      <c r="O8">
        <v>0</v>
      </c>
      <c r="P8">
        <v>0.48449999999999999</v>
      </c>
      <c r="Q8">
        <v>0.8236</v>
      </c>
      <c r="R8">
        <v>0.41039999999999999</v>
      </c>
      <c r="S8">
        <v>0.41039999999999999</v>
      </c>
      <c r="T8" s="4">
        <f>R8-S8</f>
        <v>0</v>
      </c>
    </row>
    <row r="9" spans="1:22" hidden="1" x14ac:dyDescent="0.3">
      <c r="A9">
        <v>3</v>
      </c>
      <c r="B9" t="s">
        <v>17</v>
      </c>
      <c r="C9" t="s">
        <v>18</v>
      </c>
      <c r="D9" t="s">
        <v>42</v>
      </c>
      <c r="E9" t="s">
        <v>43</v>
      </c>
      <c r="F9" t="s">
        <v>44</v>
      </c>
      <c r="G9" t="s">
        <v>45</v>
      </c>
      <c r="H9" t="s">
        <v>46</v>
      </c>
      <c r="I9">
        <v>0</v>
      </c>
      <c r="J9" t="s">
        <v>47</v>
      </c>
      <c r="K9">
        <v>0</v>
      </c>
      <c r="L9" t="s">
        <v>25</v>
      </c>
      <c r="M9" t="s">
        <v>48</v>
      </c>
      <c r="N9">
        <v>0.6</v>
      </c>
      <c r="O9">
        <v>0.40649999999999997</v>
      </c>
      <c r="P9">
        <v>0.79949999999999999</v>
      </c>
      <c r="Q9">
        <v>0.82989999999999997</v>
      </c>
      <c r="R9">
        <v>0.65900000000000003</v>
      </c>
      <c r="S9">
        <v>0.65900000000000003</v>
      </c>
      <c r="T9" s="4">
        <f>R9-S9</f>
        <v>0</v>
      </c>
    </row>
    <row r="10" spans="1:22" hidden="1" x14ac:dyDescent="0.3">
      <c r="A10">
        <v>4</v>
      </c>
      <c r="B10" t="s">
        <v>17</v>
      </c>
      <c r="C10" t="s">
        <v>18</v>
      </c>
      <c r="D10" t="s">
        <v>49</v>
      </c>
      <c r="E10" t="s">
        <v>50</v>
      </c>
      <c r="F10" t="s">
        <v>51</v>
      </c>
      <c r="G10" t="s">
        <v>52</v>
      </c>
      <c r="H10" t="s">
        <v>53</v>
      </c>
      <c r="I10">
        <v>0.28570000000000001</v>
      </c>
      <c r="J10" t="s">
        <v>54</v>
      </c>
      <c r="K10">
        <v>0</v>
      </c>
      <c r="L10" t="s">
        <v>25</v>
      </c>
      <c r="M10" t="s">
        <v>55</v>
      </c>
      <c r="N10">
        <v>0.91969999999999996</v>
      </c>
      <c r="O10">
        <v>0.78169999999999995</v>
      </c>
      <c r="P10">
        <v>0.83489999999999998</v>
      </c>
      <c r="Q10">
        <v>0.95350000000000001</v>
      </c>
      <c r="R10">
        <v>0.87239999999999995</v>
      </c>
      <c r="S10">
        <v>0.87239999999999995</v>
      </c>
      <c r="T10" s="4">
        <f>R10-S10</f>
        <v>0</v>
      </c>
    </row>
    <row r="11" spans="1:22" hidden="1" x14ac:dyDescent="0.3">
      <c r="A11">
        <v>5</v>
      </c>
      <c r="B11" t="s">
        <v>17</v>
      </c>
      <c r="C11" t="s">
        <v>18</v>
      </c>
      <c r="D11" t="s">
        <v>56</v>
      </c>
      <c r="E11" t="s">
        <v>57</v>
      </c>
      <c r="F11" t="s">
        <v>58</v>
      </c>
      <c r="G11" t="s">
        <v>59</v>
      </c>
      <c r="H11" t="s">
        <v>60</v>
      </c>
      <c r="I11">
        <v>0.77780000000000005</v>
      </c>
      <c r="J11" t="s">
        <v>61</v>
      </c>
      <c r="K11">
        <v>0.42859999999999998</v>
      </c>
      <c r="L11" t="s">
        <v>25</v>
      </c>
      <c r="M11" t="s">
        <v>58</v>
      </c>
      <c r="N11">
        <v>1</v>
      </c>
      <c r="O11">
        <v>1</v>
      </c>
      <c r="P11">
        <v>0.99980000000000002</v>
      </c>
      <c r="Q11">
        <v>1</v>
      </c>
      <c r="R11">
        <v>1</v>
      </c>
      <c r="S11">
        <v>1</v>
      </c>
      <c r="T11" s="4">
        <f>R11-S11</f>
        <v>0</v>
      </c>
    </row>
    <row r="12" spans="1:22" hidden="1" x14ac:dyDescent="0.3">
      <c r="A12">
        <v>6</v>
      </c>
      <c r="B12" t="s">
        <v>17</v>
      </c>
      <c r="C12" t="s">
        <v>18</v>
      </c>
      <c r="D12" t="s">
        <v>62</v>
      </c>
      <c r="E12" t="s">
        <v>63</v>
      </c>
      <c r="F12" t="s">
        <v>64</v>
      </c>
      <c r="G12" t="s">
        <v>65</v>
      </c>
      <c r="H12" t="s">
        <v>66</v>
      </c>
      <c r="I12">
        <v>0.2</v>
      </c>
      <c r="J12" t="s">
        <v>67</v>
      </c>
      <c r="K12">
        <v>0</v>
      </c>
      <c r="L12" t="s">
        <v>25</v>
      </c>
      <c r="M12" t="s">
        <v>68</v>
      </c>
      <c r="N12">
        <v>0.57140000000000002</v>
      </c>
      <c r="O12">
        <v>0.3654</v>
      </c>
      <c r="P12">
        <v>0.48399999999999999</v>
      </c>
      <c r="Q12">
        <v>0.83860000000000001</v>
      </c>
      <c r="R12">
        <v>0.56489999999999996</v>
      </c>
      <c r="S12">
        <v>0.56489999999999996</v>
      </c>
      <c r="T12" s="4">
        <f>R12-S12</f>
        <v>0</v>
      </c>
    </row>
    <row r="13" spans="1:22" hidden="1" x14ac:dyDescent="0.3">
      <c r="A13">
        <v>8</v>
      </c>
      <c r="B13" t="s">
        <v>17</v>
      </c>
      <c r="C13" t="s">
        <v>18</v>
      </c>
      <c r="D13" t="s">
        <v>75</v>
      </c>
      <c r="E13" t="s">
        <v>76</v>
      </c>
      <c r="F13" t="s">
        <v>77</v>
      </c>
      <c r="G13" t="s">
        <v>78</v>
      </c>
      <c r="H13" t="s">
        <v>79</v>
      </c>
      <c r="I13">
        <v>1</v>
      </c>
      <c r="J13" t="s">
        <v>80</v>
      </c>
      <c r="K13">
        <v>0.25</v>
      </c>
      <c r="L13" t="s">
        <v>25</v>
      </c>
      <c r="M13" t="s">
        <v>81</v>
      </c>
      <c r="N13">
        <v>0.7107</v>
      </c>
      <c r="O13">
        <v>0.46279999999999999</v>
      </c>
      <c r="P13">
        <v>0.59760000000000002</v>
      </c>
      <c r="Q13">
        <v>0.87839999999999996</v>
      </c>
      <c r="R13">
        <v>0.66239999999999999</v>
      </c>
      <c r="S13">
        <v>0.66239999999999999</v>
      </c>
      <c r="T13" s="4">
        <f>R13-S13</f>
        <v>0</v>
      </c>
    </row>
    <row r="14" spans="1:22" hidden="1" x14ac:dyDescent="0.3">
      <c r="A14">
        <v>9</v>
      </c>
      <c r="B14" t="s">
        <v>17</v>
      </c>
      <c r="C14" t="s">
        <v>18</v>
      </c>
      <c r="D14" t="s">
        <v>82</v>
      </c>
      <c r="E14" t="s">
        <v>83</v>
      </c>
      <c r="F14" t="s">
        <v>84</v>
      </c>
      <c r="G14" t="s">
        <v>85</v>
      </c>
      <c r="H14" t="s">
        <v>86</v>
      </c>
      <c r="I14">
        <v>0.8</v>
      </c>
      <c r="J14" t="s">
        <v>87</v>
      </c>
      <c r="K14">
        <v>0.5</v>
      </c>
      <c r="L14" t="s">
        <v>25</v>
      </c>
      <c r="M14" t="s">
        <v>84</v>
      </c>
      <c r="N14">
        <v>1</v>
      </c>
      <c r="O14">
        <v>1</v>
      </c>
      <c r="P14">
        <v>0.99990000000000001</v>
      </c>
      <c r="Q14">
        <v>1</v>
      </c>
      <c r="R14">
        <v>1</v>
      </c>
      <c r="S14">
        <v>1</v>
      </c>
      <c r="T14" s="4">
        <f>R14-S14</f>
        <v>0</v>
      </c>
    </row>
    <row r="15" spans="1:22" hidden="1" x14ac:dyDescent="0.3">
      <c r="A15">
        <v>10</v>
      </c>
      <c r="B15" t="s">
        <v>17</v>
      </c>
      <c r="C15" t="s">
        <v>18</v>
      </c>
      <c r="D15" t="s">
        <v>88</v>
      </c>
      <c r="E15" t="s">
        <v>89</v>
      </c>
      <c r="F15" t="s">
        <v>90</v>
      </c>
      <c r="G15" t="s">
        <v>91</v>
      </c>
      <c r="H15" t="s">
        <v>92</v>
      </c>
      <c r="I15">
        <v>0.75</v>
      </c>
      <c r="J15" t="s">
        <v>93</v>
      </c>
      <c r="K15">
        <v>0.33329999999999999</v>
      </c>
      <c r="L15" t="s">
        <v>25</v>
      </c>
      <c r="M15" t="s">
        <v>94</v>
      </c>
      <c r="N15">
        <v>0.89470000000000005</v>
      </c>
      <c r="O15">
        <v>0.79869999999999997</v>
      </c>
      <c r="P15">
        <v>0.90190000000000003</v>
      </c>
      <c r="Q15">
        <v>0.95699999999999996</v>
      </c>
      <c r="R15">
        <v>0.8881</v>
      </c>
      <c r="S15">
        <v>0.8881</v>
      </c>
      <c r="T15" s="4">
        <f>R15-S15</f>
        <v>0</v>
      </c>
    </row>
    <row r="16" spans="1:22" hidden="1" x14ac:dyDescent="0.3">
      <c r="A16">
        <v>11</v>
      </c>
      <c r="B16" t="s">
        <v>17</v>
      </c>
      <c r="C16" t="s">
        <v>18</v>
      </c>
      <c r="D16" t="s">
        <v>95</v>
      </c>
      <c r="E16" t="s">
        <v>96</v>
      </c>
      <c r="F16" t="s">
        <v>97</v>
      </c>
      <c r="G16" t="s">
        <v>98</v>
      </c>
      <c r="H16" t="s">
        <v>99</v>
      </c>
      <c r="I16">
        <v>1</v>
      </c>
      <c r="J16" t="s">
        <v>100</v>
      </c>
      <c r="K16">
        <v>0.66669999999999996</v>
      </c>
      <c r="L16" t="s">
        <v>25</v>
      </c>
      <c r="M16" t="s">
        <v>101</v>
      </c>
      <c r="N16">
        <v>0.42109999999999997</v>
      </c>
      <c r="O16">
        <v>0.1754</v>
      </c>
      <c r="P16">
        <v>0.42120000000000002</v>
      </c>
      <c r="Q16">
        <v>0.7863</v>
      </c>
      <c r="R16">
        <v>0.45100000000000001</v>
      </c>
      <c r="S16">
        <v>0.45100000000000001</v>
      </c>
      <c r="T16" s="4">
        <f>R16-S16</f>
        <v>0</v>
      </c>
    </row>
    <row r="17" spans="1:20" hidden="1" x14ac:dyDescent="0.3">
      <c r="A17">
        <v>12</v>
      </c>
      <c r="B17" t="s">
        <v>17</v>
      </c>
      <c r="C17" t="s">
        <v>18</v>
      </c>
      <c r="D17" t="s">
        <v>102</v>
      </c>
      <c r="E17" t="s">
        <v>103</v>
      </c>
      <c r="F17" t="s">
        <v>104</v>
      </c>
      <c r="G17" t="s">
        <v>105</v>
      </c>
      <c r="H17" t="s">
        <v>106</v>
      </c>
      <c r="I17">
        <v>0.16669999999999999</v>
      </c>
      <c r="J17" t="s">
        <v>25</v>
      </c>
      <c r="K17">
        <v>0</v>
      </c>
      <c r="L17" t="s">
        <v>25</v>
      </c>
      <c r="M17" t="s">
        <v>107</v>
      </c>
      <c r="N17">
        <v>0.9143</v>
      </c>
      <c r="O17">
        <v>0.66390000000000005</v>
      </c>
      <c r="P17">
        <v>0.85660000000000003</v>
      </c>
      <c r="Q17">
        <v>0.9143</v>
      </c>
      <c r="R17">
        <v>0.83730000000000004</v>
      </c>
      <c r="S17">
        <v>0.83730000000000004</v>
      </c>
      <c r="T17" s="4">
        <f>R17-S17</f>
        <v>0</v>
      </c>
    </row>
    <row r="18" spans="1:20" hidden="1" x14ac:dyDescent="0.3">
      <c r="A18">
        <v>13</v>
      </c>
      <c r="B18" t="s">
        <v>17</v>
      </c>
      <c r="C18" t="s">
        <v>18</v>
      </c>
      <c r="D18" t="s">
        <v>108</v>
      </c>
      <c r="E18" t="s">
        <v>109</v>
      </c>
      <c r="F18" t="s">
        <v>110</v>
      </c>
      <c r="G18" t="s">
        <v>111</v>
      </c>
      <c r="H18" t="s">
        <v>112</v>
      </c>
      <c r="I18">
        <v>0.33329999999999999</v>
      </c>
      <c r="J18" t="s">
        <v>113</v>
      </c>
      <c r="K18">
        <v>0</v>
      </c>
      <c r="L18" t="s">
        <v>25</v>
      </c>
      <c r="M18" t="s">
        <v>114</v>
      </c>
      <c r="N18">
        <v>0.5</v>
      </c>
      <c r="O18">
        <v>0</v>
      </c>
      <c r="P18">
        <v>0.56240000000000001</v>
      </c>
      <c r="Q18">
        <v>0.82740000000000002</v>
      </c>
      <c r="R18">
        <v>0.47239999999999999</v>
      </c>
      <c r="S18">
        <v>0.47239999999999999</v>
      </c>
      <c r="T18" s="4">
        <f>R18-S18</f>
        <v>0</v>
      </c>
    </row>
    <row r="19" spans="1:20" hidden="1" x14ac:dyDescent="0.3">
      <c r="A19">
        <v>15</v>
      </c>
      <c r="B19" t="s">
        <v>17</v>
      </c>
      <c r="C19" t="s">
        <v>18</v>
      </c>
      <c r="D19" t="s">
        <v>122</v>
      </c>
      <c r="E19" t="s">
        <v>123</v>
      </c>
      <c r="F19" t="s">
        <v>124</v>
      </c>
      <c r="G19" t="s">
        <v>125</v>
      </c>
      <c r="H19" t="s">
        <v>126</v>
      </c>
      <c r="I19">
        <v>1</v>
      </c>
      <c r="J19" t="s">
        <v>25</v>
      </c>
      <c r="K19">
        <v>0</v>
      </c>
      <c r="L19" t="s">
        <v>127</v>
      </c>
      <c r="M19" t="s">
        <v>128</v>
      </c>
      <c r="N19">
        <v>0.58620000000000005</v>
      </c>
      <c r="O19">
        <v>0.29930000000000001</v>
      </c>
      <c r="P19">
        <v>0.56079999999999997</v>
      </c>
      <c r="Q19">
        <v>0.87649999999999995</v>
      </c>
      <c r="R19">
        <v>0.58069999999999999</v>
      </c>
      <c r="S19">
        <v>0.58069999999999999</v>
      </c>
      <c r="T19" s="4">
        <f>R19-S19</f>
        <v>0</v>
      </c>
    </row>
    <row r="20" spans="1:20" hidden="1" x14ac:dyDescent="0.3">
      <c r="A20">
        <v>16</v>
      </c>
      <c r="B20" t="s">
        <v>17</v>
      </c>
      <c r="C20" t="s">
        <v>18</v>
      </c>
      <c r="D20" t="s">
        <v>129</v>
      </c>
      <c r="E20" t="s">
        <v>130</v>
      </c>
      <c r="F20" t="s">
        <v>131</v>
      </c>
      <c r="G20" t="s">
        <v>132</v>
      </c>
      <c r="H20" t="s">
        <v>133</v>
      </c>
      <c r="I20">
        <v>0.66669999999999996</v>
      </c>
      <c r="J20" t="s">
        <v>134</v>
      </c>
      <c r="K20">
        <v>0.25</v>
      </c>
      <c r="L20" t="s">
        <v>135</v>
      </c>
      <c r="M20" t="s">
        <v>136</v>
      </c>
      <c r="N20">
        <v>0.31879999999999997</v>
      </c>
      <c r="O20">
        <v>3.2899999999999999E-2</v>
      </c>
      <c r="P20">
        <v>0.14380000000000001</v>
      </c>
      <c r="Q20">
        <v>0.78259999999999996</v>
      </c>
      <c r="R20">
        <v>0.31950000000000001</v>
      </c>
      <c r="S20">
        <v>0.31950000000000001</v>
      </c>
      <c r="T20" s="4">
        <f>R20-S20</f>
        <v>0</v>
      </c>
    </row>
    <row r="21" spans="1:20" hidden="1" x14ac:dyDescent="0.3">
      <c r="A21">
        <v>17</v>
      </c>
      <c r="B21" t="s">
        <v>17</v>
      </c>
      <c r="C21" t="s">
        <v>18</v>
      </c>
      <c r="D21" t="s">
        <v>137</v>
      </c>
      <c r="E21" t="s">
        <v>138</v>
      </c>
      <c r="F21" t="s">
        <v>139</v>
      </c>
      <c r="G21" t="s">
        <v>140</v>
      </c>
      <c r="H21" t="s">
        <v>141</v>
      </c>
      <c r="I21">
        <v>0</v>
      </c>
      <c r="J21" t="s">
        <v>142</v>
      </c>
      <c r="K21">
        <v>0</v>
      </c>
      <c r="L21" t="s">
        <v>25</v>
      </c>
      <c r="M21" t="s">
        <v>143</v>
      </c>
      <c r="N21">
        <v>0.43480000000000002</v>
      </c>
      <c r="O21">
        <v>0.1197</v>
      </c>
      <c r="P21">
        <v>0.65290000000000004</v>
      </c>
      <c r="Q21">
        <v>0.75960000000000005</v>
      </c>
      <c r="R21">
        <v>0.49180000000000001</v>
      </c>
      <c r="S21">
        <v>0.49180000000000001</v>
      </c>
      <c r="T21" s="4">
        <f>R21-S21</f>
        <v>0</v>
      </c>
    </row>
    <row r="22" spans="1:20" hidden="1" x14ac:dyDescent="0.3">
      <c r="A22">
        <v>20</v>
      </c>
      <c r="B22" t="s">
        <v>17</v>
      </c>
      <c r="C22" t="s">
        <v>18</v>
      </c>
      <c r="D22" t="s">
        <v>158</v>
      </c>
      <c r="E22" t="s">
        <v>159</v>
      </c>
      <c r="F22" t="s">
        <v>160</v>
      </c>
      <c r="G22" t="s">
        <v>161</v>
      </c>
      <c r="H22" t="s">
        <v>162</v>
      </c>
      <c r="I22">
        <v>0.83330000000000004</v>
      </c>
      <c r="J22" t="s">
        <v>163</v>
      </c>
      <c r="K22">
        <v>0.2</v>
      </c>
      <c r="L22" t="s">
        <v>25</v>
      </c>
      <c r="M22" t="s">
        <v>164</v>
      </c>
      <c r="N22">
        <v>0.68630000000000002</v>
      </c>
      <c r="O22">
        <v>0.74099999999999999</v>
      </c>
      <c r="P22">
        <v>0.89080000000000004</v>
      </c>
      <c r="Q22">
        <v>0.93540000000000001</v>
      </c>
      <c r="R22">
        <v>0.81340000000000001</v>
      </c>
      <c r="S22">
        <v>0.81340000000000001</v>
      </c>
      <c r="T22" s="4">
        <f>R22-S22</f>
        <v>0</v>
      </c>
    </row>
    <row r="23" spans="1:20" hidden="1" x14ac:dyDescent="0.3">
      <c r="A23">
        <v>22</v>
      </c>
      <c r="B23" t="s">
        <v>17</v>
      </c>
      <c r="C23" t="s">
        <v>18</v>
      </c>
      <c r="D23" t="s">
        <v>171</v>
      </c>
      <c r="E23" t="s">
        <v>172</v>
      </c>
      <c r="F23" t="s">
        <v>173</v>
      </c>
      <c r="G23" t="s">
        <v>174</v>
      </c>
      <c r="H23" t="s">
        <v>175</v>
      </c>
      <c r="I23">
        <v>0.1429</v>
      </c>
      <c r="J23" t="s">
        <v>176</v>
      </c>
      <c r="K23">
        <v>0</v>
      </c>
      <c r="L23" t="s">
        <v>25</v>
      </c>
      <c r="M23" t="s">
        <v>177</v>
      </c>
      <c r="N23">
        <v>0.88890000000000002</v>
      </c>
      <c r="O23">
        <v>0.72419999999999995</v>
      </c>
      <c r="P23">
        <v>0.98309999999999997</v>
      </c>
      <c r="Q23">
        <v>0.97140000000000004</v>
      </c>
      <c r="R23">
        <v>0.89190000000000003</v>
      </c>
      <c r="S23">
        <v>0.89190000000000003</v>
      </c>
      <c r="T23" s="4">
        <f>R23-S23</f>
        <v>0</v>
      </c>
    </row>
    <row r="24" spans="1:20" hidden="1" x14ac:dyDescent="0.3">
      <c r="A24">
        <v>23</v>
      </c>
      <c r="B24" t="s">
        <v>17</v>
      </c>
      <c r="C24" t="s">
        <v>18</v>
      </c>
      <c r="D24" t="s">
        <v>178</v>
      </c>
      <c r="E24" t="s">
        <v>179</v>
      </c>
      <c r="F24" t="s">
        <v>180</v>
      </c>
      <c r="G24" t="s">
        <v>181</v>
      </c>
      <c r="H24" t="s">
        <v>182</v>
      </c>
      <c r="I24">
        <v>0.83330000000000004</v>
      </c>
      <c r="J24" t="s">
        <v>183</v>
      </c>
      <c r="K24">
        <v>0.8</v>
      </c>
      <c r="L24" t="s">
        <v>25</v>
      </c>
      <c r="M24" t="s">
        <v>184</v>
      </c>
      <c r="N24">
        <v>0.71879999999999999</v>
      </c>
      <c r="O24">
        <v>0.44409999999999999</v>
      </c>
      <c r="P24">
        <v>0.81789999999999996</v>
      </c>
      <c r="Q24">
        <v>0.88129999999999997</v>
      </c>
      <c r="R24">
        <v>0.71550000000000002</v>
      </c>
      <c r="S24">
        <v>0.71550000000000002</v>
      </c>
      <c r="T24" s="4">
        <f>R24-S24</f>
        <v>0</v>
      </c>
    </row>
    <row r="25" spans="1:20" hidden="1" x14ac:dyDescent="0.3">
      <c r="A25">
        <v>25</v>
      </c>
      <c r="B25" t="s">
        <v>17</v>
      </c>
      <c r="C25" t="s">
        <v>18</v>
      </c>
      <c r="D25" t="s">
        <v>192</v>
      </c>
      <c r="E25" t="s">
        <v>193</v>
      </c>
      <c r="F25" t="s">
        <v>194</v>
      </c>
      <c r="G25" t="s">
        <v>195</v>
      </c>
      <c r="H25" t="s">
        <v>196</v>
      </c>
      <c r="I25">
        <v>0.5</v>
      </c>
      <c r="J25" t="s">
        <v>197</v>
      </c>
      <c r="K25">
        <v>1</v>
      </c>
      <c r="L25" t="s">
        <v>25</v>
      </c>
      <c r="M25" t="s">
        <v>198</v>
      </c>
      <c r="N25">
        <v>0.878</v>
      </c>
      <c r="O25">
        <v>0.65029999999999999</v>
      </c>
      <c r="P25">
        <v>0.89129999999999998</v>
      </c>
      <c r="Q25">
        <v>0.98060000000000003</v>
      </c>
      <c r="R25">
        <v>0.85</v>
      </c>
      <c r="S25">
        <v>0.85</v>
      </c>
      <c r="T25" s="4">
        <f>R25-S25</f>
        <v>0</v>
      </c>
    </row>
    <row r="26" spans="1:20" hidden="1" x14ac:dyDescent="0.3">
      <c r="A26">
        <v>26</v>
      </c>
      <c r="B26" t="s">
        <v>17</v>
      </c>
      <c r="C26" t="s">
        <v>18</v>
      </c>
      <c r="D26" t="s">
        <v>199</v>
      </c>
      <c r="E26" t="s">
        <v>200</v>
      </c>
      <c r="F26" t="s">
        <v>201</v>
      </c>
      <c r="G26" t="s">
        <v>202</v>
      </c>
      <c r="H26" t="s">
        <v>203</v>
      </c>
      <c r="I26">
        <v>1</v>
      </c>
      <c r="J26" t="s">
        <v>204</v>
      </c>
      <c r="K26">
        <v>0.66669999999999996</v>
      </c>
      <c r="L26" t="s">
        <v>25</v>
      </c>
      <c r="M26" t="s">
        <v>205</v>
      </c>
      <c r="N26">
        <v>0.77310000000000001</v>
      </c>
      <c r="O26">
        <v>0.67549999999999999</v>
      </c>
      <c r="P26">
        <v>0.92290000000000005</v>
      </c>
      <c r="Q26">
        <v>0.93259999999999998</v>
      </c>
      <c r="R26">
        <v>0.82599999999999996</v>
      </c>
      <c r="S26">
        <v>0.82599999999999996</v>
      </c>
      <c r="T26" s="4">
        <f>R26-S26</f>
        <v>0</v>
      </c>
    </row>
    <row r="27" spans="1:20" hidden="1" x14ac:dyDescent="0.3">
      <c r="A27">
        <v>27</v>
      </c>
      <c r="B27" t="s">
        <v>17</v>
      </c>
      <c r="C27" t="s">
        <v>18</v>
      </c>
      <c r="D27" t="s">
        <v>206</v>
      </c>
      <c r="E27" t="s">
        <v>207</v>
      </c>
      <c r="F27" t="s">
        <v>208</v>
      </c>
      <c r="G27" t="s">
        <v>209</v>
      </c>
      <c r="H27" t="s">
        <v>210</v>
      </c>
      <c r="I27">
        <v>0.16669999999999999</v>
      </c>
      <c r="J27" t="s">
        <v>211</v>
      </c>
      <c r="K27">
        <v>1</v>
      </c>
      <c r="L27" t="s">
        <v>212</v>
      </c>
      <c r="M27" t="s">
        <v>208</v>
      </c>
      <c r="N27">
        <v>1</v>
      </c>
      <c r="O27">
        <v>1</v>
      </c>
      <c r="P27">
        <v>0.99770000000000003</v>
      </c>
      <c r="Q27">
        <v>1</v>
      </c>
      <c r="R27">
        <v>0.99939999999999996</v>
      </c>
      <c r="S27">
        <v>0.99939999999999996</v>
      </c>
      <c r="T27" s="4">
        <f>R27-S27</f>
        <v>0</v>
      </c>
    </row>
    <row r="28" spans="1:20" hidden="1" x14ac:dyDescent="0.3">
      <c r="A28">
        <v>29</v>
      </c>
      <c r="B28" t="s">
        <v>17</v>
      </c>
      <c r="C28" t="s">
        <v>18</v>
      </c>
      <c r="D28" t="s">
        <v>220</v>
      </c>
      <c r="E28" t="s">
        <v>221</v>
      </c>
      <c r="F28" t="s">
        <v>222</v>
      </c>
      <c r="G28" t="s">
        <v>223</v>
      </c>
      <c r="H28" t="s">
        <v>224</v>
      </c>
      <c r="I28">
        <v>0.8</v>
      </c>
      <c r="J28" t="s">
        <v>225</v>
      </c>
      <c r="K28">
        <v>0.5</v>
      </c>
      <c r="L28" t="s">
        <v>25</v>
      </c>
      <c r="M28" t="s">
        <v>226</v>
      </c>
      <c r="N28">
        <v>0.69389999999999996</v>
      </c>
      <c r="O28">
        <v>0.56810000000000005</v>
      </c>
      <c r="P28">
        <v>0.93379999999999996</v>
      </c>
      <c r="Q28">
        <v>0.93510000000000004</v>
      </c>
      <c r="R28">
        <v>0.78269999999999995</v>
      </c>
      <c r="S28">
        <v>0.78269999999999995</v>
      </c>
      <c r="T28" s="4">
        <f>R28-S28</f>
        <v>0</v>
      </c>
    </row>
    <row r="29" spans="1:20" hidden="1" x14ac:dyDescent="0.3">
      <c r="A29">
        <v>30</v>
      </c>
      <c r="B29" t="s">
        <v>17</v>
      </c>
      <c r="C29" t="s">
        <v>18</v>
      </c>
      <c r="D29" t="s">
        <v>227</v>
      </c>
      <c r="E29" t="s">
        <v>228</v>
      </c>
      <c r="F29" t="s">
        <v>229</v>
      </c>
      <c r="G29" t="s">
        <v>230</v>
      </c>
      <c r="H29" t="s">
        <v>231</v>
      </c>
      <c r="I29">
        <v>0</v>
      </c>
      <c r="J29" t="s">
        <v>232</v>
      </c>
      <c r="K29">
        <v>0</v>
      </c>
      <c r="L29" t="s">
        <v>25</v>
      </c>
      <c r="M29" t="s">
        <v>233</v>
      </c>
      <c r="N29">
        <v>0.83330000000000004</v>
      </c>
      <c r="O29">
        <v>0.65900000000000003</v>
      </c>
      <c r="P29">
        <v>0.96679999999999999</v>
      </c>
      <c r="Q29">
        <v>0.88229999999999997</v>
      </c>
      <c r="R29">
        <v>0.83540000000000003</v>
      </c>
      <c r="S29">
        <v>0.83540000000000003</v>
      </c>
      <c r="T29" s="4">
        <f>R29-S29</f>
        <v>0</v>
      </c>
    </row>
    <row r="30" spans="1:20" hidden="1" x14ac:dyDescent="0.3">
      <c r="A30">
        <v>33</v>
      </c>
      <c r="B30" t="s">
        <v>17</v>
      </c>
      <c r="C30" t="s">
        <v>18</v>
      </c>
      <c r="D30" t="s">
        <v>248</v>
      </c>
      <c r="E30" t="s">
        <v>249</v>
      </c>
      <c r="F30" t="s">
        <v>250</v>
      </c>
      <c r="G30" t="s">
        <v>251</v>
      </c>
      <c r="H30" t="s">
        <v>252</v>
      </c>
      <c r="I30">
        <v>0.5</v>
      </c>
      <c r="J30" t="s">
        <v>253</v>
      </c>
      <c r="K30">
        <v>0.5</v>
      </c>
      <c r="L30" t="s">
        <v>25</v>
      </c>
      <c r="M30" t="s">
        <v>254</v>
      </c>
      <c r="N30">
        <v>0.46429999999999999</v>
      </c>
      <c r="O30">
        <v>0.13100000000000001</v>
      </c>
      <c r="P30">
        <v>0.32440000000000002</v>
      </c>
      <c r="Q30">
        <v>0.74680000000000002</v>
      </c>
      <c r="R30">
        <v>0.41660000000000003</v>
      </c>
      <c r="S30">
        <v>0.41660000000000003</v>
      </c>
      <c r="T30" s="4">
        <f>R30-S30</f>
        <v>0</v>
      </c>
    </row>
    <row r="31" spans="1:20" hidden="1" x14ac:dyDescent="0.3">
      <c r="A31">
        <v>34</v>
      </c>
      <c r="B31" t="s">
        <v>17</v>
      </c>
      <c r="C31" t="s">
        <v>18</v>
      </c>
      <c r="D31" t="s">
        <v>255</v>
      </c>
      <c r="E31" t="s">
        <v>256</v>
      </c>
      <c r="F31" t="s">
        <v>257</v>
      </c>
      <c r="G31" t="s">
        <v>258</v>
      </c>
      <c r="H31" t="s">
        <v>259</v>
      </c>
      <c r="I31">
        <v>0.66669999999999996</v>
      </c>
      <c r="J31" t="s">
        <v>260</v>
      </c>
      <c r="K31">
        <v>0.25</v>
      </c>
      <c r="L31" t="s">
        <v>25</v>
      </c>
      <c r="M31" t="s">
        <v>257</v>
      </c>
      <c r="N31">
        <v>1</v>
      </c>
      <c r="O31">
        <v>1</v>
      </c>
      <c r="P31">
        <v>0.99990000000000001</v>
      </c>
      <c r="Q31">
        <v>1</v>
      </c>
      <c r="R31">
        <v>1</v>
      </c>
      <c r="S31">
        <v>1</v>
      </c>
      <c r="T31" s="4">
        <f>R31-S31</f>
        <v>0</v>
      </c>
    </row>
    <row r="32" spans="1:20" hidden="1" x14ac:dyDescent="0.3">
      <c r="A32">
        <v>37</v>
      </c>
      <c r="B32" t="s">
        <v>17</v>
      </c>
      <c r="C32" t="s">
        <v>18</v>
      </c>
      <c r="D32" t="s">
        <v>275</v>
      </c>
      <c r="E32" t="s">
        <v>276</v>
      </c>
      <c r="F32" t="s">
        <v>277</v>
      </c>
      <c r="G32" t="s">
        <v>278</v>
      </c>
      <c r="H32" t="s">
        <v>279</v>
      </c>
      <c r="I32">
        <v>1</v>
      </c>
      <c r="J32" t="s">
        <v>280</v>
      </c>
      <c r="K32">
        <v>0.2</v>
      </c>
      <c r="L32" t="s">
        <v>281</v>
      </c>
      <c r="M32" t="s">
        <v>282</v>
      </c>
      <c r="N32">
        <v>0.3765</v>
      </c>
      <c r="O32">
        <v>6.0900000000000003E-2</v>
      </c>
      <c r="P32">
        <v>0.19900000000000001</v>
      </c>
      <c r="Q32">
        <v>0.77790000000000004</v>
      </c>
      <c r="R32">
        <v>0.35360000000000003</v>
      </c>
      <c r="S32">
        <v>0.35360000000000003</v>
      </c>
      <c r="T32" s="4">
        <f>R32-S32</f>
        <v>0</v>
      </c>
    </row>
    <row r="33" spans="1:20" hidden="1" x14ac:dyDescent="0.3">
      <c r="A33">
        <v>38</v>
      </c>
      <c r="B33" t="s">
        <v>17</v>
      </c>
      <c r="C33" t="s">
        <v>18</v>
      </c>
      <c r="D33" t="s">
        <v>283</v>
      </c>
      <c r="E33" t="s">
        <v>284</v>
      </c>
      <c r="F33" t="s">
        <v>285</v>
      </c>
      <c r="G33" t="s">
        <v>286</v>
      </c>
      <c r="H33" t="s">
        <v>287</v>
      </c>
      <c r="I33">
        <v>0</v>
      </c>
      <c r="J33" t="s">
        <v>288</v>
      </c>
      <c r="K33">
        <v>0</v>
      </c>
      <c r="L33" t="s">
        <v>25</v>
      </c>
      <c r="M33" t="s">
        <v>285</v>
      </c>
      <c r="N33">
        <v>1</v>
      </c>
      <c r="O33">
        <v>1</v>
      </c>
      <c r="P33">
        <v>1</v>
      </c>
      <c r="Q33">
        <v>1</v>
      </c>
      <c r="R33">
        <v>1</v>
      </c>
      <c r="S33">
        <v>1</v>
      </c>
      <c r="T33" s="4">
        <f>R33-S33</f>
        <v>0</v>
      </c>
    </row>
    <row r="34" spans="1:20" hidden="1" x14ac:dyDescent="0.3">
      <c r="A34">
        <v>39</v>
      </c>
      <c r="B34" t="s">
        <v>17</v>
      </c>
      <c r="C34" t="s">
        <v>18</v>
      </c>
      <c r="D34" t="s">
        <v>289</v>
      </c>
      <c r="E34" t="s">
        <v>290</v>
      </c>
      <c r="F34" t="s">
        <v>291</v>
      </c>
      <c r="G34" t="s">
        <v>292</v>
      </c>
      <c r="H34" t="s">
        <v>293</v>
      </c>
      <c r="I34">
        <v>0.1429</v>
      </c>
      <c r="J34" t="s">
        <v>294</v>
      </c>
      <c r="K34">
        <v>0</v>
      </c>
      <c r="L34" t="s">
        <v>295</v>
      </c>
      <c r="M34" t="s">
        <v>296</v>
      </c>
      <c r="N34">
        <v>0.71599999999999997</v>
      </c>
      <c r="O34">
        <v>0.45629999999999998</v>
      </c>
      <c r="P34">
        <v>0.74870000000000003</v>
      </c>
      <c r="Q34">
        <v>0.92030000000000001</v>
      </c>
      <c r="R34">
        <v>0.71030000000000004</v>
      </c>
      <c r="S34">
        <v>0.71030000000000004</v>
      </c>
      <c r="T34" s="4">
        <f>R34-S34</f>
        <v>0</v>
      </c>
    </row>
    <row r="35" spans="1:20" hidden="1" x14ac:dyDescent="0.3">
      <c r="A35">
        <v>41</v>
      </c>
      <c r="B35" t="s">
        <v>17</v>
      </c>
      <c r="C35" t="s">
        <v>18</v>
      </c>
      <c r="D35" t="s">
        <v>304</v>
      </c>
      <c r="E35" t="s">
        <v>305</v>
      </c>
      <c r="F35" t="s">
        <v>306</v>
      </c>
      <c r="G35" t="s">
        <v>307</v>
      </c>
      <c r="H35" t="s">
        <v>308</v>
      </c>
      <c r="I35">
        <v>0.66669999999999996</v>
      </c>
      <c r="J35" t="s">
        <v>32</v>
      </c>
      <c r="K35">
        <v>0.25</v>
      </c>
      <c r="L35" t="s">
        <v>25</v>
      </c>
      <c r="M35" t="s">
        <v>309</v>
      </c>
      <c r="N35">
        <v>0.89739999999999998</v>
      </c>
      <c r="O35">
        <v>0.71389999999999998</v>
      </c>
      <c r="P35">
        <v>0.82520000000000004</v>
      </c>
      <c r="Q35">
        <v>0.94350000000000001</v>
      </c>
      <c r="R35">
        <v>0.84499999999999997</v>
      </c>
      <c r="S35">
        <v>0.84499999999999997</v>
      </c>
      <c r="T35" s="4">
        <f>R35-S35</f>
        <v>0</v>
      </c>
    </row>
    <row r="36" spans="1:20" hidden="1" x14ac:dyDescent="0.3">
      <c r="A36">
        <v>42</v>
      </c>
      <c r="B36" t="s">
        <v>17</v>
      </c>
      <c r="C36" t="s">
        <v>18</v>
      </c>
      <c r="D36" t="s">
        <v>310</v>
      </c>
      <c r="E36" t="s">
        <v>311</v>
      </c>
      <c r="F36" t="s">
        <v>312</v>
      </c>
      <c r="G36" t="s">
        <v>313</v>
      </c>
      <c r="H36" t="s">
        <v>314</v>
      </c>
      <c r="I36">
        <v>0.66669999999999996</v>
      </c>
      <c r="J36" t="s">
        <v>315</v>
      </c>
      <c r="K36">
        <v>0.75</v>
      </c>
      <c r="L36" t="s">
        <v>316</v>
      </c>
      <c r="M36" t="s">
        <v>317</v>
      </c>
      <c r="N36">
        <v>0.36840000000000001</v>
      </c>
      <c r="O36">
        <v>0.16830000000000001</v>
      </c>
      <c r="P36">
        <v>0.37419999999999998</v>
      </c>
      <c r="Q36">
        <v>0.81420000000000003</v>
      </c>
      <c r="R36">
        <v>0.43130000000000002</v>
      </c>
      <c r="S36">
        <v>0.43130000000000002</v>
      </c>
      <c r="T36" s="4">
        <f>R36-S36</f>
        <v>0</v>
      </c>
    </row>
    <row r="37" spans="1:20" hidden="1" x14ac:dyDescent="0.3">
      <c r="A37">
        <v>43</v>
      </c>
      <c r="B37" t="s">
        <v>17</v>
      </c>
      <c r="C37" t="s">
        <v>18</v>
      </c>
      <c r="D37" t="s">
        <v>318</v>
      </c>
      <c r="E37" t="s">
        <v>319</v>
      </c>
      <c r="F37" t="s">
        <v>320</v>
      </c>
      <c r="G37" t="s">
        <v>321</v>
      </c>
      <c r="H37" t="s">
        <v>322</v>
      </c>
      <c r="I37">
        <v>0.125</v>
      </c>
      <c r="J37" t="s">
        <v>323</v>
      </c>
      <c r="K37">
        <v>0</v>
      </c>
      <c r="L37" t="s">
        <v>25</v>
      </c>
      <c r="M37" t="s">
        <v>324</v>
      </c>
      <c r="N37">
        <v>0.51429999999999998</v>
      </c>
      <c r="O37">
        <v>0.34789999999999999</v>
      </c>
      <c r="P37">
        <v>0.69689999999999996</v>
      </c>
      <c r="Q37">
        <v>0.85850000000000004</v>
      </c>
      <c r="R37">
        <v>0.60440000000000005</v>
      </c>
      <c r="S37">
        <v>0.60440000000000005</v>
      </c>
      <c r="T37" s="4">
        <f>R37-S37</f>
        <v>0</v>
      </c>
    </row>
    <row r="38" spans="1:20" hidden="1" x14ac:dyDescent="0.3">
      <c r="A38">
        <v>44</v>
      </c>
      <c r="B38" t="s">
        <v>17</v>
      </c>
      <c r="C38" t="s">
        <v>18</v>
      </c>
      <c r="D38" t="s">
        <v>325</v>
      </c>
      <c r="E38" t="s">
        <v>326</v>
      </c>
      <c r="F38" t="s">
        <v>327</v>
      </c>
      <c r="G38" t="s">
        <v>328</v>
      </c>
      <c r="H38" t="s">
        <v>329</v>
      </c>
      <c r="I38">
        <v>0.625</v>
      </c>
      <c r="J38" t="s">
        <v>330</v>
      </c>
      <c r="K38">
        <v>0.4</v>
      </c>
      <c r="L38" t="s">
        <v>40</v>
      </c>
      <c r="M38" t="s">
        <v>331</v>
      </c>
      <c r="N38">
        <v>0.69230000000000003</v>
      </c>
      <c r="O38">
        <v>0.78979999999999995</v>
      </c>
      <c r="P38">
        <v>0.95709999999999995</v>
      </c>
      <c r="Q38">
        <v>0.95409999999999995</v>
      </c>
      <c r="R38">
        <v>0.84830000000000005</v>
      </c>
      <c r="S38">
        <v>0.84830000000000005</v>
      </c>
      <c r="T38" s="4">
        <f>R38-S38</f>
        <v>0</v>
      </c>
    </row>
    <row r="39" spans="1:20" hidden="1" x14ac:dyDescent="0.3">
      <c r="A39">
        <v>45</v>
      </c>
      <c r="B39" t="s">
        <v>17</v>
      </c>
      <c r="C39" t="s">
        <v>18</v>
      </c>
      <c r="D39" t="s">
        <v>332</v>
      </c>
      <c r="E39" t="s">
        <v>333</v>
      </c>
      <c r="F39" t="s">
        <v>334</v>
      </c>
      <c r="G39" t="s">
        <v>335</v>
      </c>
      <c r="H39" t="s">
        <v>336</v>
      </c>
      <c r="I39">
        <v>0.25</v>
      </c>
      <c r="J39" t="s">
        <v>337</v>
      </c>
      <c r="K39">
        <v>1</v>
      </c>
      <c r="L39" t="s">
        <v>25</v>
      </c>
      <c r="M39" t="s">
        <v>338</v>
      </c>
      <c r="N39">
        <v>0.86539999999999995</v>
      </c>
      <c r="O39">
        <v>0.73470000000000002</v>
      </c>
      <c r="P39">
        <v>0.97060000000000002</v>
      </c>
      <c r="Q39">
        <v>0.90659999999999996</v>
      </c>
      <c r="R39">
        <v>0.86929999999999996</v>
      </c>
      <c r="S39">
        <v>0.86929999999999996</v>
      </c>
      <c r="T39" s="4">
        <f>R39-S39</f>
        <v>0</v>
      </c>
    </row>
    <row r="40" spans="1:20" hidden="1" x14ac:dyDescent="0.3">
      <c r="A40">
        <v>46</v>
      </c>
      <c r="B40" t="s">
        <v>17</v>
      </c>
      <c r="C40" t="s">
        <v>18</v>
      </c>
      <c r="D40" t="s">
        <v>339</v>
      </c>
      <c r="E40" t="s">
        <v>340</v>
      </c>
      <c r="F40" t="s">
        <v>341</v>
      </c>
      <c r="G40" t="s">
        <v>342</v>
      </c>
      <c r="H40" t="s">
        <v>343</v>
      </c>
      <c r="I40">
        <v>0</v>
      </c>
      <c r="J40" t="s">
        <v>344</v>
      </c>
      <c r="K40">
        <v>0</v>
      </c>
      <c r="L40" t="s">
        <v>25</v>
      </c>
      <c r="M40" t="s">
        <v>345</v>
      </c>
      <c r="N40">
        <v>0.62860000000000005</v>
      </c>
      <c r="O40">
        <v>0.28299999999999997</v>
      </c>
      <c r="P40">
        <v>0.49070000000000003</v>
      </c>
      <c r="Q40">
        <v>0.79449999999999998</v>
      </c>
      <c r="R40">
        <v>0.54920000000000002</v>
      </c>
      <c r="S40">
        <v>0.54920000000000002</v>
      </c>
      <c r="T40" s="4">
        <f>R40-S40</f>
        <v>0</v>
      </c>
    </row>
    <row r="41" spans="1:20" hidden="1" x14ac:dyDescent="0.3">
      <c r="A41">
        <v>47</v>
      </c>
      <c r="B41" t="s">
        <v>17</v>
      </c>
      <c r="C41" t="s">
        <v>18</v>
      </c>
      <c r="D41" t="s">
        <v>346</v>
      </c>
      <c r="E41" t="s">
        <v>347</v>
      </c>
      <c r="F41" t="s">
        <v>348</v>
      </c>
      <c r="G41" t="s">
        <v>349</v>
      </c>
      <c r="H41" t="s">
        <v>350</v>
      </c>
      <c r="I41">
        <v>1</v>
      </c>
      <c r="J41" t="s">
        <v>351</v>
      </c>
      <c r="K41">
        <v>0.5</v>
      </c>
      <c r="L41" t="s">
        <v>25</v>
      </c>
      <c r="M41" t="s">
        <v>352</v>
      </c>
      <c r="N41">
        <v>1</v>
      </c>
      <c r="O41">
        <v>0.81540000000000001</v>
      </c>
      <c r="P41">
        <v>0.99990000000000001</v>
      </c>
      <c r="Q41">
        <v>0.99119999999999997</v>
      </c>
      <c r="R41">
        <v>0.9516</v>
      </c>
      <c r="S41">
        <v>0.9516</v>
      </c>
      <c r="T41" s="4">
        <f>R41-S41</f>
        <v>0</v>
      </c>
    </row>
    <row r="42" spans="1:20" hidden="1" x14ac:dyDescent="0.3">
      <c r="A42">
        <v>49</v>
      </c>
      <c r="B42" t="s">
        <v>17</v>
      </c>
      <c r="C42" t="s">
        <v>18</v>
      </c>
      <c r="D42" t="s">
        <v>360</v>
      </c>
      <c r="E42" t="s">
        <v>361</v>
      </c>
      <c r="F42" t="s">
        <v>362</v>
      </c>
      <c r="G42" t="s">
        <v>363</v>
      </c>
      <c r="H42" t="s">
        <v>364</v>
      </c>
      <c r="I42">
        <v>0</v>
      </c>
      <c r="J42" t="s">
        <v>365</v>
      </c>
      <c r="K42">
        <v>0</v>
      </c>
      <c r="L42" t="s">
        <v>25</v>
      </c>
      <c r="M42" t="s">
        <v>362</v>
      </c>
      <c r="N42">
        <v>1</v>
      </c>
      <c r="O42">
        <v>1</v>
      </c>
      <c r="P42">
        <v>0.999</v>
      </c>
      <c r="Q42">
        <v>1</v>
      </c>
      <c r="R42">
        <v>0.99980000000000002</v>
      </c>
      <c r="S42">
        <v>0.99980000000000002</v>
      </c>
      <c r="T42" s="4">
        <f>R42-S42</f>
        <v>0</v>
      </c>
    </row>
    <row r="43" spans="1:20" x14ac:dyDescent="0.3">
      <c r="A43">
        <v>48</v>
      </c>
      <c r="B43" t="s">
        <v>17</v>
      </c>
      <c r="C43" t="s">
        <v>18</v>
      </c>
      <c r="D43" t="s">
        <v>353</v>
      </c>
      <c r="E43" t="s">
        <v>354</v>
      </c>
      <c r="F43" t="s">
        <v>355</v>
      </c>
      <c r="G43" t="s">
        <v>356</v>
      </c>
      <c r="H43" t="s">
        <v>357</v>
      </c>
      <c r="I43">
        <v>0.8</v>
      </c>
      <c r="J43" t="s">
        <v>358</v>
      </c>
      <c r="K43">
        <v>0.25</v>
      </c>
      <c r="L43" t="s">
        <v>25</v>
      </c>
      <c r="M43" t="s">
        <v>359</v>
      </c>
      <c r="N43">
        <v>0.52629999999999999</v>
      </c>
      <c r="O43">
        <v>0.1913</v>
      </c>
      <c r="P43">
        <v>0.37290000000000001</v>
      </c>
      <c r="Q43">
        <v>0.85350000000000004</v>
      </c>
      <c r="R43">
        <v>0.48599999999999999</v>
      </c>
      <c r="S43">
        <v>0.48149999999999998</v>
      </c>
      <c r="T43" s="4">
        <f>R43-S43</f>
        <v>4.500000000000004E-3</v>
      </c>
    </row>
    <row r="44" spans="1:20" x14ac:dyDescent="0.3">
      <c r="A44">
        <v>31</v>
      </c>
      <c r="B44" t="s">
        <v>17</v>
      </c>
      <c r="C44" t="s">
        <v>18</v>
      </c>
      <c r="D44" t="s">
        <v>234</v>
      </c>
      <c r="E44" t="s">
        <v>235</v>
      </c>
      <c r="F44" t="s">
        <v>236</v>
      </c>
      <c r="G44" t="s">
        <v>237</v>
      </c>
      <c r="H44" t="s">
        <v>238</v>
      </c>
      <c r="I44">
        <v>0.66669999999999996</v>
      </c>
      <c r="J44" t="s">
        <v>239</v>
      </c>
      <c r="K44">
        <v>0.25</v>
      </c>
      <c r="L44" t="s">
        <v>25</v>
      </c>
      <c r="M44" t="s">
        <v>240</v>
      </c>
      <c r="N44">
        <v>0.43359999999999999</v>
      </c>
      <c r="O44">
        <v>0.41670000000000001</v>
      </c>
      <c r="P44">
        <v>0.78769999999999996</v>
      </c>
      <c r="Q44">
        <v>0.85019999999999996</v>
      </c>
      <c r="R44">
        <v>0.622</v>
      </c>
      <c r="S44">
        <v>0.61399999999999999</v>
      </c>
      <c r="T44" s="4">
        <f>R44-S44</f>
        <v>8.0000000000000071E-3</v>
      </c>
    </row>
    <row r="45" spans="1:20" x14ac:dyDescent="0.3">
      <c r="A45">
        <v>0</v>
      </c>
      <c r="B45" t="s">
        <v>17</v>
      </c>
      <c r="C45" t="s">
        <v>18</v>
      </c>
      <c r="D45" t="s">
        <v>19</v>
      </c>
      <c r="E45" t="s">
        <v>20</v>
      </c>
      <c r="F45" t="s">
        <v>21</v>
      </c>
      <c r="G45" t="s">
        <v>22</v>
      </c>
      <c r="H45" t="s">
        <v>23</v>
      </c>
      <c r="I45">
        <v>0.625</v>
      </c>
      <c r="J45" t="s">
        <v>24</v>
      </c>
      <c r="K45">
        <v>0.8</v>
      </c>
      <c r="L45" t="s">
        <v>25</v>
      </c>
      <c r="M45" t="s">
        <v>26</v>
      </c>
      <c r="N45">
        <v>0.22220000000000001</v>
      </c>
      <c r="O45">
        <v>0</v>
      </c>
      <c r="P45">
        <v>0.1116</v>
      </c>
      <c r="Q45">
        <v>0.70369999999999999</v>
      </c>
      <c r="R45">
        <v>0.25940000000000002</v>
      </c>
      <c r="S45">
        <v>0.22689999999999999</v>
      </c>
      <c r="T45" s="4">
        <f>R45-S45</f>
        <v>3.2500000000000029E-2</v>
      </c>
    </row>
    <row r="46" spans="1:20" x14ac:dyDescent="0.3">
      <c r="A46">
        <v>21</v>
      </c>
      <c r="B46" t="s">
        <v>17</v>
      </c>
      <c r="C46" t="s">
        <v>18</v>
      </c>
      <c r="D46" t="s">
        <v>165</v>
      </c>
      <c r="E46" t="s">
        <v>166</v>
      </c>
      <c r="F46" t="s">
        <v>167</v>
      </c>
      <c r="G46" t="s">
        <v>168</v>
      </c>
      <c r="H46" t="s">
        <v>169</v>
      </c>
      <c r="I46">
        <v>0.5</v>
      </c>
      <c r="J46" t="s">
        <v>25</v>
      </c>
      <c r="K46">
        <v>0</v>
      </c>
      <c r="L46" t="s">
        <v>170</v>
      </c>
      <c r="M46" t="s">
        <v>167</v>
      </c>
      <c r="N46">
        <v>1</v>
      </c>
      <c r="O46">
        <v>1</v>
      </c>
      <c r="P46">
        <v>1</v>
      </c>
      <c r="Q46">
        <v>1</v>
      </c>
      <c r="R46">
        <v>1</v>
      </c>
      <c r="S46">
        <v>0.96260000000000001</v>
      </c>
      <c r="T46" s="4">
        <f>R46-S46</f>
        <v>3.7399999999999989E-2</v>
      </c>
    </row>
    <row r="47" spans="1:20" x14ac:dyDescent="0.3">
      <c r="A47">
        <v>40</v>
      </c>
      <c r="B47" t="s">
        <v>17</v>
      </c>
      <c r="C47" t="s">
        <v>18</v>
      </c>
      <c r="D47" t="s">
        <v>297</v>
      </c>
      <c r="E47" t="s">
        <v>298</v>
      </c>
      <c r="F47" t="s">
        <v>299</v>
      </c>
      <c r="G47" t="s">
        <v>300</v>
      </c>
      <c r="H47" t="s">
        <v>301</v>
      </c>
      <c r="I47">
        <v>1</v>
      </c>
      <c r="J47" t="s">
        <v>302</v>
      </c>
      <c r="K47">
        <v>0.6</v>
      </c>
      <c r="L47" t="s">
        <v>25</v>
      </c>
      <c r="M47" t="s">
        <v>303</v>
      </c>
      <c r="N47">
        <v>0.86670000000000003</v>
      </c>
      <c r="O47">
        <v>0.69889999999999997</v>
      </c>
      <c r="P47">
        <v>0.81369999999999998</v>
      </c>
      <c r="Q47">
        <v>0.91739999999999999</v>
      </c>
      <c r="R47">
        <v>0.82420000000000004</v>
      </c>
      <c r="S47">
        <v>0.76839999999999997</v>
      </c>
      <c r="T47" s="4">
        <f>R47-S47</f>
        <v>5.5800000000000072E-2</v>
      </c>
    </row>
    <row r="48" spans="1:20" x14ac:dyDescent="0.3">
      <c r="A48">
        <v>14</v>
      </c>
      <c r="B48" t="s">
        <v>17</v>
      </c>
      <c r="C48" t="s">
        <v>18</v>
      </c>
      <c r="D48" t="s">
        <v>115</v>
      </c>
      <c r="E48" t="s">
        <v>116</v>
      </c>
      <c r="F48" t="s">
        <v>117</v>
      </c>
      <c r="G48" t="s">
        <v>118</v>
      </c>
      <c r="H48" t="s">
        <v>119</v>
      </c>
      <c r="I48">
        <v>0</v>
      </c>
      <c r="J48" t="s">
        <v>120</v>
      </c>
      <c r="K48">
        <v>0</v>
      </c>
      <c r="L48" t="s">
        <v>25</v>
      </c>
      <c r="M48" t="s">
        <v>121</v>
      </c>
      <c r="N48">
        <v>0.70589999999999997</v>
      </c>
      <c r="O48">
        <v>0.51</v>
      </c>
      <c r="P48">
        <v>0.93500000000000005</v>
      </c>
      <c r="Q48">
        <v>0.89159999999999995</v>
      </c>
      <c r="R48">
        <v>0.76060000000000005</v>
      </c>
      <c r="S48">
        <v>0.66390000000000005</v>
      </c>
      <c r="T48" s="4">
        <f>R48-S48</f>
        <v>9.6700000000000008E-2</v>
      </c>
    </row>
    <row r="49" spans="1:20" x14ac:dyDescent="0.3">
      <c r="A49">
        <v>7</v>
      </c>
      <c r="B49" t="s">
        <v>17</v>
      </c>
      <c r="C49" t="s">
        <v>18</v>
      </c>
      <c r="D49" t="s">
        <v>69</v>
      </c>
      <c r="E49" t="s">
        <v>70</v>
      </c>
      <c r="F49" t="s">
        <v>71</v>
      </c>
      <c r="G49" t="s">
        <v>72</v>
      </c>
      <c r="H49" t="s">
        <v>73</v>
      </c>
      <c r="I49">
        <v>0.57140000000000002</v>
      </c>
      <c r="J49" t="s">
        <v>74</v>
      </c>
      <c r="K49">
        <v>0.25</v>
      </c>
      <c r="L49" t="s">
        <v>25</v>
      </c>
      <c r="M49" t="s">
        <v>71</v>
      </c>
      <c r="N49">
        <v>1</v>
      </c>
      <c r="O49">
        <v>1</v>
      </c>
      <c r="P49">
        <v>0.99990000000000001</v>
      </c>
      <c r="Q49">
        <v>1</v>
      </c>
      <c r="R49">
        <v>1</v>
      </c>
      <c r="S49">
        <v>0.86950000000000005</v>
      </c>
      <c r="T49" s="4">
        <f>R49-S49</f>
        <v>0.13049999999999995</v>
      </c>
    </row>
    <row r="50" spans="1:20" x14ac:dyDescent="0.3">
      <c r="A50">
        <v>32</v>
      </c>
      <c r="B50" t="s">
        <v>17</v>
      </c>
      <c r="C50" t="s">
        <v>18</v>
      </c>
      <c r="D50" t="s">
        <v>241</v>
      </c>
      <c r="E50" t="s">
        <v>242</v>
      </c>
      <c r="F50" t="s">
        <v>243</v>
      </c>
      <c r="G50" t="s">
        <v>244</v>
      </c>
      <c r="H50" t="s">
        <v>245</v>
      </c>
      <c r="I50">
        <v>0.1111</v>
      </c>
      <c r="J50" t="s">
        <v>246</v>
      </c>
      <c r="K50">
        <v>1</v>
      </c>
      <c r="L50" t="s">
        <v>25</v>
      </c>
      <c r="M50" t="s">
        <v>247</v>
      </c>
      <c r="N50">
        <v>0.73170000000000002</v>
      </c>
      <c r="O50">
        <v>0.36130000000000001</v>
      </c>
      <c r="P50">
        <v>0.56010000000000004</v>
      </c>
      <c r="Q50">
        <v>0.87939999999999996</v>
      </c>
      <c r="R50">
        <v>0.6331</v>
      </c>
      <c r="S50">
        <v>0.49340000000000001</v>
      </c>
      <c r="T50" s="4">
        <f>R50-S50</f>
        <v>0.13969999999999999</v>
      </c>
    </row>
    <row r="51" spans="1:20" x14ac:dyDescent="0.3">
      <c r="A51">
        <v>19</v>
      </c>
      <c r="B51" t="s">
        <v>17</v>
      </c>
      <c r="C51" t="s">
        <v>18</v>
      </c>
      <c r="D51" t="s">
        <v>151</v>
      </c>
      <c r="E51" t="s">
        <v>152</v>
      </c>
      <c r="F51" t="s">
        <v>153</v>
      </c>
      <c r="G51" t="s">
        <v>154</v>
      </c>
      <c r="H51" t="s">
        <v>155</v>
      </c>
      <c r="I51">
        <v>0.125</v>
      </c>
      <c r="J51" t="s">
        <v>156</v>
      </c>
      <c r="K51">
        <v>1</v>
      </c>
      <c r="L51" t="s">
        <v>25</v>
      </c>
      <c r="M51" t="s">
        <v>157</v>
      </c>
      <c r="N51">
        <v>0.7742</v>
      </c>
      <c r="O51">
        <v>0.60719999999999996</v>
      </c>
      <c r="P51">
        <v>0.72519999999999996</v>
      </c>
      <c r="Q51">
        <v>0.91010000000000002</v>
      </c>
      <c r="R51">
        <v>0.75419999999999998</v>
      </c>
      <c r="S51">
        <v>0.41039999999999999</v>
      </c>
      <c r="T51" s="4">
        <f>R51-S51</f>
        <v>0.34379999999999999</v>
      </c>
    </row>
    <row r="52" spans="1:20" x14ac:dyDescent="0.3">
      <c r="T52" s="4"/>
    </row>
  </sheetData>
  <sortState xmlns:xlrd2="http://schemas.microsoft.com/office/spreadsheetml/2017/richdata2" ref="A2:T52">
    <sortCondition ref="T1:T52"/>
  </sortState>
  <conditionalFormatting sqref="T2:T51">
    <cfRule type="cellIs" dxfId="2" priority="4" operator="lessThan">
      <formula>0</formula>
    </cfRule>
    <cfRule type="cellIs" dxfId="3" priority="3" operator="greaterThan">
      <formula>0</formula>
    </cfRule>
  </conditionalFormatting>
  <conditionalFormatting sqref="V7">
    <cfRule type="cellIs" dxfId="0" priority="1" operator="greaterThan">
      <formula>0</formula>
    </cfRule>
    <cfRule type="cellIs" dxfId="1" priority="2" operator="lessThan">
      <formula>0</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2025-10-15T16:18:48Z</dcterms:created>
  <dcterms:modified xsi:type="dcterms:W3CDTF">2025-10-15T17:02:01Z</dcterms:modified>
</cp:coreProperties>
</file>