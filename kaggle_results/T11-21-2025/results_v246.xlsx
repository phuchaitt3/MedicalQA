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48017133-CBE1-41AB-95E8-48DC6D3CB09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1" l="1"/>
  <c r="M4" i="1"/>
  <c r="M18" i="1"/>
  <c r="M41" i="1"/>
  <c r="M50" i="1"/>
  <c r="M8" i="1"/>
  <c r="M35" i="1"/>
  <c r="M31" i="1"/>
  <c r="M11" i="1"/>
  <c r="M12" i="1"/>
  <c r="M9" i="1"/>
  <c r="M22" i="1"/>
  <c r="M24" i="1"/>
  <c r="M21" i="1"/>
  <c r="M17" i="1"/>
  <c r="M13" i="1"/>
  <c r="M19" i="1"/>
  <c r="M3" i="1"/>
  <c r="M25" i="1"/>
  <c r="M26" i="1"/>
  <c r="M23" i="1"/>
  <c r="M29" i="1"/>
  <c r="M7" i="1"/>
  <c r="M15" i="1"/>
  <c r="M5" i="1"/>
  <c r="M28" i="1"/>
  <c r="M16" i="1"/>
  <c r="M30" i="1"/>
  <c r="M49" i="1"/>
  <c r="M32" i="1"/>
  <c r="M33" i="1"/>
  <c r="M34" i="1"/>
  <c r="M42" i="1"/>
  <c r="M36" i="1"/>
  <c r="M37" i="1"/>
  <c r="M38" i="1"/>
  <c r="M39" i="1"/>
  <c r="M40" i="1"/>
  <c r="M10" i="1"/>
  <c r="M20" i="1"/>
  <c r="M43" i="1"/>
  <c r="M44" i="1"/>
  <c r="M45" i="1"/>
  <c r="M47" i="1"/>
  <c r="M14" i="1"/>
  <c r="M48" i="1"/>
  <c r="M6" i="1"/>
  <c r="M46" i="1"/>
  <c r="M51" i="1"/>
  <c r="M2" i="1"/>
</calcChain>
</file>

<file path=xl/sharedStrings.xml><?xml version="1.0" encoding="utf-8"?>
<sst xmlns="http://schemas.openxmlformats.org/spreadsheetml/2006/main" count="362" uniqueCount="281">
  <si>
    <t>Sample_ID</t>
  </si>
  <si>
    <t>Original_Index</t>
  </si>
  <si>
    <t>Question</t>
  </si>
  <si>
    <t>Original_Context</t>
  </si>
  <si>
    <t>Full_Chunk_Score_Breakdown</t>
  </si>
  <si>
    <t>Augmented_Context_Used</t>
  </si>
  <si>
    <t>Ground_Truth_Answer</t>
  </si>
  <si>
    <t>Snippet_Long_EN_Answer</t>
  </si>
  <si>
    <t>Snippet_Long_EN_Avg-Score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</si>
  <si>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</si>
  <si>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</si>
  <si>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</si>
  <si>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</si>
  <si>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</si>
  <si>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</si>
  <si>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</si>
  <si>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</si>
  <si>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</si>
  <si>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</si>
  <si>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</si>
  <si>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</si>
  <si>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</si>
  <si>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</si>
  <si>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</si>
  <si>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</si>
  <si>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</si>
  <si>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</si>
  <si>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</si>
  <si>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</si>
  <si>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</si>
  <si>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</si>
  <si>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</si>
  <si>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</si>
  <si>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</si>
  <si>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</si>
  <si>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</si>
  <si>
    <t>Cây ổi chứa thành phần hóa học như tannin, tanin, pectin.</t>
  </si>
  <si>
    <t>Cây ổi chứa các thành phần hóa học như: tinh dầu từ lá ổi, hoa ổi, quả ổi, pectin, tanin, tannin, và các vi khuẩn.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</si>
  <si>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</si>
  <si>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</si>
  <si>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</si>
  <si>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</si>
  <si>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</si>
  <si>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</si>
  <si>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</si>
  <si>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</si>
  <si>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</si>
  <si>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</si>
  <si>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</si>
  <si>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</si>
  <si>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</si>
  <si>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</si>
  <si>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</si>
  <si>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</si>
  <si>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</si>
  <si>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</si>
  <si>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</si>
  <si>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</si>
  <si>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</si>
  <si>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</si>
  <si>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</si>
  <si>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</si>
  <si>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</si>
  <si>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</si>
  <si>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</si>
  <si>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</si>
  <si>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</si>
  <si>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</si>
  <si>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</si>
  <si>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</si>
  <si>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</si>
  <si>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</si>
  <si>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</si>
  <si>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</si>
  <si>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2. [Final Score: 0.5568] Đỉnh hạt dẹt, chiều dài mỗi hạt cỡ 2mm.
   - Unnormalized (Vec/BM25/Rerank): 0.5182 / 0.0000 / 0.6176
   - Normalized (Vec/BM25/Rerank):   0.6588 / 0.0000 / 0.7184</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</si>
  <si>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</si>
  <si>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</si>
  <si>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</si>
  <si>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</si>
  <si>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</si>
  <si>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</si>
  <si>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</si>
  <si>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</si>
  <si>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</si>
  <si>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</si>
  <si>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</si>
  <si>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</si>
  <si>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</si>
  <si>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</si>
  <si>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</si>
  <si>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</si>
  <si>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</si>
  <si>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</si>
  <si>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</si>
  <si>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</si>
  <si>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</si>
  <si>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</si>
  <si>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</si>
  <si>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</si>
  <si>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</si>
  <si>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</si>
  <si>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</si>
  <si>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</si>
  <si>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</si>
  <si>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</si>
  <si>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</si>
  <si>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</si>
  <si>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</si>
  <si>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</si>
  <si>
    <t>Sử dụng Cao hổ cốt nếu không tuân thủ đúng hướng dẫn có thể gây tăng huyết áp, đột quỵ, biến chứng nếu là trường hợp người mắc các bệnh về viêm gan, suy thận, bệnh tim.</t>
  </si>
  <si>
    <t>Nếu không tuân thủ đúng hướng dẫn, Cao hổ cốt có thể gây ra các biến chứng như tăng huyết áp, đột quỵ, viêm gan, suy thận, bệnh tim mạch…</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</si>
  <si>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</si>
  <si>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</si>
  <si>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</si>
  <si>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</si>
  <si>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</si>
  <si>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</si>
  <si>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</si>
  <si>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</si>
  <si>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</si>
  <si>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đi sự phiền nhiễu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</si>
  <si>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</si>
  <si>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</si>
  <si>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</si>
  <si>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</si>
  <si>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</si>
  <si>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</si>
  <si>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</si>
  <si>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</si>
  <si>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</si>
  <si>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</si>
  <si>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</si>
  <si>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</si>
  <si>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2. [Final Score: 0.6871] Ngược lại, khi nồng độ TSH giảm và nồng độ T3, T4 tăng sẽ gây cường giáp.
   - Unnormalized (Vec/BM25/Rerank): 0.6737 / 2.4441 / 0.7667
   - Normalized (Vec/BM25/Rerank):   0.7278 / 0.1682 / 0.8703</t>
  </si>
  <si>
    <t>Những hormonee thường được định lượng khi xét nghiệm tuyến giáp là hormonee giáp T4, T3, hormonee kiểm soát tuyến giáp TSH và các tự kháng thể tuyến giáp.</t>
  </si>
  <si>
    <t>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</si>
  <si>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</si>
  <si>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</si>
  <si>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</si>
  <si>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</si>
  <si>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</si>
  <si>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</si>
  <si>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</si>
  <si>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</si>
  <si>
    <t>Phương pháp này cũng có thể thực hiện kèm theo sau phẫu thuật để giảm sự lây lan ung thư.</t>
  </si>
  <si>
    <t>Xạ trị toàn bộ não có thể được thực hiện kèm theo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</si>
  <si>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</si>
  <si>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</si>
  <si>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</si>
  <si>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</si>
  <si>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</si>
  <si>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</si>
  <si>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</si>
  <si>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</si>
  <si>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</si>
  <si>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</si>
  <si>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</si>
  <si>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</si>
  <si>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</si>
  <si>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</si>
  <si>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</si>
  <si>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</si>
  <si>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</si>
  <si>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</si>
  <si>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</si>
  <si>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</si>
  <si>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</si>
  <si>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</si>
  <si>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</si>
  <si>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</si>
  <si>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</si>
  <si>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</si>
  <si>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</si>
  <si>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</si>
  <si>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</si>
  <si>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</si>
  <si>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</si>
  <si>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</si>
  <si>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</si>
  <si>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</si>
  <si>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</si>
  <si>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</si>
  <si>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</si>
  <si>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</si>
  <si>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</si>
  <si>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</si>
  <si>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</si>
  <si>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2. [Final Score: 0.6526] Trong ngăn có phấn hoa và mật, đồng thời chúng dùng để đẻ trứng.
   - Unnormalized (Vec/BM25/Rerank): 0.5470 / 0.0000 / 0.7351
   - Normalized (Vec/BM25/Rerank):   0.6637 / 0.0000 / 0.9070</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</si>
  <si>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</si>
  <si>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</si>
  <si>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</si>
  <si>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</si>
  <si>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</si>
  <si>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</si>
  <si>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</si>
  <si>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</si>
  <si>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</si>
  <si>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</si>
  <si>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</si>
  <si>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</si>
  <si>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</si>
  <si>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</si>
  <si>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</si>
  <si>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</si>
  <si>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ho và các loại căng thẳng.</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</si>
  <si>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</si>
  <si>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</si>
  <si>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</si>
  <si>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</si>
  <si>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</si>
  <si>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</si>
  <si>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</si>
  <si>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</si>
  <si>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</si>
  <si>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</si>
  <si>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</si>
  <si>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</si>
  <si>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</si>
  <si>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</si>
  <si>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</si>
  <si>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</si>
  <si>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</si>
  <si>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</si>
  <si>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</si>
  <si>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</si>
  <si>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</si>
  <si>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</si>
  <si>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</si>
  <si>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</si>
  <si>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</si>
  <si>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</si>
  <si>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</si>
  <si>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</si>
  <si>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</si>
  <si>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</si>
  <si>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</si>
  <si>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</si>
  <si>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</si>
  <si>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</si>
  <si>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</si>
  <si>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</si>
  <si>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</si>
  <si>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</si>
  <si>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</si>
  <si>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</si>
  <si>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</si>
  <si>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</si>
  <si>
    <t>Môi trường ẩm ướt, mưa nhiều, nhiệt độ tầm 15 – 18°C.</t>
  </si>
  <si>
    <t>Hạ khô thảo mọc tốt nhất trong môi trường ẩm ướt, mưa nhiều, nhiệt độ tầm 15 – 18°C. Cây Hạ khô thảo không chịu được nắng nóng.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</si>
  <si>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</si>
  <si>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</si>
  <si>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</si>
  <si>
    <t>Nàng nàng ra hoa quả nhiều hàng năm.</t>
  </si>
  <si>
    <t>From_highlight_EN_Answer</t>
  </si>
  <si>
    <t>From_highlight_EN_Avg-Score</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</si>
  <si>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</si>
  <si>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</si>
  <si>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</si>
  <si>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</si>
  <si>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</si>
  <si>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</si>
  <si>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</si>
  <si>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</si>
  <si>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</si>
  <si>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</si>
  <si>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</si>
  <si>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</si>
  <si>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</si>
  <si>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</si>
  <si>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</si>
  <si>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</si>
  <si>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</si>
  <si>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Chẩn đoán chính xác u nhú thanh quản cần sử dụng sinh thiết, bao gồm xét nghiệm bằng kính hiển vi và xét nghiệm HPV trên một mẫu sinh thiết.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</si>
  <si>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</si>
  <si>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</si>
  <si>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</si>
  <si>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</si>
  <si>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</si>
  <si>
    <t>Score_Diff</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</si>
  <si>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</si>
  <si>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r>
      <t xml:space="preserve">Làm gì để có thể </t>
    </r>
    <r>
      <rPr>
        <b/>
        <sz val="11"/>
        <color theme="1"/>
        <rFont val="Arial"/>
        <family val="2"/>
        <scheme val="minor"/>
      </rPr>
      <t>cải thiện chức năng sinh hoạt của người bệnh?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</si>
</sst>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2" borderId="0" xfId="0" applyFont="1" applyFill="1"/>
    <xf numFmtId="0" fontId="0" fillId="2" borderId="0" xfId="0" applyFill="1"/>
    <xf numFmtId="0" fontId="0" fillId="3" borderId="0" xfId="0" applyFill="1"/>
    <xf numFmtId="0" fontId="1" fillId="0" borderId="2" xfId="0" applyFont="1" applyFill="1" applyBorder="1" applyAlignment="1">
      <alignment horizontal="center" vertical="top"/>
    </xf>
    <xf numFmtId="0" fontId="0" fillId="2"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1"/>
  <sheetViews>
    <sheetView tabSelected="1" zoomScale="175" zoomScaleNormal="175" workbookViewId="0">
      <selection activeCell="E5" sqref="E5"/>
    </sheetView>
  </sheetViews>
  <sheetFormatPr defaultRowHeight="14" x14ac:dyDescent="0.3"/>
  <cols>
    <col min="5" max="5" width="76.08203125" customWidth="1"/>
  </cols>
  <sheetData>
    <row r="1" spans="1:13" x14ac:dyDescent="0.3">
      <c r="A1" s="1" t="s">
        <v>0</v>
      </c>
      <c r="B1" s="1" t="s">
        <v>1</v>
      </c>
      <c r="C1" s="1" t="s">
        <v>2</v>
      </c>
      <c r="D1" s="1" t="s">
        <v>3</v>
      </c>
      <c r="E1" s="1" t="s">
        <v>4</v>
      </c>
      <c r="F1" s="1" t="s">
        <v>5</v>
      </c>
      <c r="G1" s="1" t="s">
        <v>6</v>
      </c>
      <c r="H1" s="1" t="s">
        <v>7</v>
      </c>
      <c r="I1" s="1" t="s">
        <v>8</v>
      </c>
      <c r="K1" s="1" t="s">
        <v>253</v>
      </c>
      <c r="L1" s="1" t="s">
        <v>254</v>
      </c>
      <c r="M1" s="6" t="s">
        <v>278</v>
      </c>
    </row>
    <row r="2" spans="1:13" hidden="1" x14ac:dyDescent="0.3">
      <c r="A2">
        <v>0</v>
      </c>
      <c r="B2">
        <v>883</v>
      </c>
      <c r="C2" t="s">
        <v>9</v>
      </c>
      <c r="D2" t="s">
        <v>10</v>
      </c>
      <c r="E2" t="s">
        <v>11</v>
      </c>
      <c r="F2" t="s">
        <v>10</v>
      </c>
      <c r="G2" t="s">
        <v>12</v>
      </c>
      <c r="H2" t="s">
        <v>12</v>
      </c>
      <c r="I2">
        <v>1</v>
      </c>
      <c r="K2" t="s">
        <v>12</v>
      </c>
      <c r="L2">
        <v>1</v>
      </c>
      <c r="M2">
        <f>I2-L2</f>
        <v>0</v>
      </c>
    </row>
    <row r="3" spans="1:13" ht="168" x14ac:dyDescent="0.3">
      <c r="A3">
        <v>18</v>
      </c>
      <c r="B3">
        <v>595</v>
      </c>
      <c r="C3" t="s">
        <v>96</v>
      </c>
      <c r="D3" t="s">
        <v>97</v>
      </c>
      <c r="E3" s="8" t="s">
        <v>98</v>
      </c>
      <c r="F3" t="s">
        <v>97</v>
      </c>
      <c r="G3" t="s">
        <v>99</v>
      </c>
      <c r="H3" t="s">
        <v>100</v>
      </c>
      <c r="I3">
        <v>0.29199999999999998</v>
      </c>
      <c r="K3" t="s">
        <v>265</v>
      </c>
      <c r="L3">
        <v>0.70430000000000004</v>
      </c>
      <c r="M3">
        <f>I3-L3</f>
        <v>-0.41230000000000006</v>
      </c>
    </row>
    <row r="4" spans="1:13" hidden="1" x14ac:dyDescent="0.3">
      <c r="A4">
        <v>2</v>
      </c>
      <c r="B4">
        <v>57</v>
      </c>
      <c r="C4" t="s">
        <v>18</v>
      </c>
      <c r="D4" t="s">
        <v>19</v>
      </c>
      <c r="E4" t="s">
        <v>20</v>
      </c>
      <c r="F4" t="s">
        <v>19</v>
      </c>
      <c r="G4" t="s">
        <v>21</v>
      </c>
      <c r="H4" t="s">
        <v>22</v>
      </c>
      <c r="I4">
        <v>0.66349999999999998</v>
      </c>
      <c r="K4" t="s">
        <v>22</v>
      </c>
      <c r="L4">
        <v>0.66349999999999998</v>
      </c>
      <c r="M4">
        <f>I4-L4</f>
        <v>0</v>
      </c>
    </row>
    <row r="5" spans="1:13" ht="154" x14ac:dyDescent="0.3">
      <c r="A5">
        <v>25</v>
      </c>
      <c r="B5">
        <v>740</v>
      </c>
      <c r="C5" t="s">
        <v>131</v>
      </c>
      <c r="D5" t="s">
        <v>132</v>
      </c>
      <c r="E5" s="2" t="s">
        <v>133</v>
      </c>
      <c r="F5" t="s">
        <v>132</v>
      </c>
      <c r="G5" t="s">
        <v>134</v>
      </c>
      <c r="H5" t="s">
        <v>135</v>
      </c>
      <c r="I5">
        <v>0.61850000000000005</v>
      </c>
      <c r="K5" t="s">
        <v>134</v>
      </c>
      <c r="L5">
        <v>1</v>
      </c>
      <c r="M5">
        <f>I5-L5</f>
        <v>-0.38149999999999995</v>
      </c>
    </row>
    <row r="6" spans="1:13" s="4" customFormat="1" x14ac:dyDescent="0.3">
      <c r="A6" s="4">
        <v>47</v>
      </c>
      <c r="B6" s="4">
        <v>181</v>
      </c>
      <c r="C6" s="4" t="s">
        <v>239</v>
      </c>
      <c r="D6" s="4" t="s">
        <v>240</v>
      </c>
      <c r="E6" s="4" t="s">
        <v>241</v>
      </c>
      <c r="F6" s="4" t="s">
        <v>240</v>
      </c>
      <c r="G6" s="4" t="s">
        <v>242</v>
      </c>
      <c r="H6" s="4" t="s">
        <v>243</v>
      </c>
      <c r="I6" s="4">
        <v>0.64019999999999999</v>
      </c>
      <c r="K6" s="4" t="s">
        <v>242</v>
      </c>
      <c r="L6" s="4">
        <v>1</v>
      </c>
      <c r="M6" s="4">
        <f>I6-L6</f>
        <v>-0.35980000000000001</v>
      </c>
    </row>
    <row r="7" spans="1:13" x14ac:dyDescent="0.3">
      <c r="A7">
        <v>23</v>
      </c>
      <c r="B7">
        <v>402</v>
      </c>
      <c r="C7" t="s">
        <v>121</v>
      </c>
      <c r="D7" t="s">
        <v>122</v>
      </c>
      <c r="E7" t="s">
        <v>123</v>
      </c>
      <c r="F7" t="s">
        <v>122</v>
      </c>
      <c r="G7" t="s">
        <v>124</v>
      </c>
      <c r="H7" t="s">
        <v>125</v>
      </c>
      <c r="I7">
        <v>0.82479999999999998</v>
      </c>
      <c r="K7" t="s">
        <v>124</v>
      </c>
      <c r="L7">
        <v>1</v>
      </c>
      <c r="M7">
        <f>I7-L7</f>
        <v>-0.17520000000000002</v>
      </c>
    </row>
    <row r="8" spans="1:13" ht="10.5" hidden="1" x14ac:dyDescent="0.3">
      <c r="A8">
        <v>6</v>
      </c>
      <c r="B8">
        <v>855</v>
      </c>
      <c r="C8" t="s">
        <v>38</v>
      </c>
      <c r="D8" t="s">
        <v>39</v>
      </c>
      <c r="E8" t="s">
        <v>40</v>
      </c>
      <c r="F8" t="s">
        <v>39</v>
      </c>
      <c r="G8" t="s">
        <v>41</v>
      </c>
      <c r="H8" t="s">
        <v>42</v>
      </c>
      <c r="I8">
        <v>0.94279999999999997</v>
      </c>
      <c r="K8" t="s">
        <v>42</v>
      </c>
      <c r="L8">
        <v>0.94279999999999997</v>
      </c>
      <c r="M8">
        <f>I8-L8</f>
        <v>0</v>
      </c>
    </row>
    <row r="9" spans="1:13" s="4" customFormat="1" ht="409.5" x14ac:dyDescent="0.3">
      <c r="A9" s="4">
        <v>11</v>
      </c>
      <c r="B9" s="4">
        <v>874</v>
      </c>
      <c r="C9" s="4" t="s">
        <v>280</v>
      </c>
      <c r="D9" s="4" t="s">
        <v>63</v>
      </c>
      <c r="E9" s="7" t="s">
        <v>64</v>
      </c>
      <c r="F9" s="7" t="s">
        <v>279</v>
      </c>
      <c r="G9" s="4" t="s">
        <v>65</v>
      </c>
      <c r="H9" s="4" t="s">
        <v>66</v>
      </c>
      <c r="I9" s="4">
        <v>0.36770000000000003</v>
      </c>
      <c r="K9" s="4" t="s">
        <v>261</v>
      </c>
      <c r="L9" s="4">
        <v>0.52900000000000003</v>
      </c>
      <c r="M9" s="4">
        <f>I9-L9</f>
        <v>-0.1613</v>
      </c>
    </row>
    <row r="10" spans="1:13" x14ac:dyDescent="0.3">
      <c r="A10">
        <v>39</v>
      </c>
      <c r="B10">
        <v>929</v>
      </c>
      <c r="C10" t="s">
        <v>200</v>
      </c>
      <c r="D10" t="s">
        <v>201</v>
      </c>
      <c r="E10" t="s">
        <v>202</v>
      </c>
      <c r="F10" t="s">
        <v>201</v>
      </c>
      <c r="G10" t="s">
        <v>203</v>
      </c>
      <c r="H10" t="s">
        <v>204</v>
      </c>
      <c r="I10">
        <v>0.39419999999999999</v>
      </c>
      <c r="K10" s="4" t="s">
        <v>273</v>
      </c>
      <c r="L10" s="4">
        <v>0.50670000000000004</v>
      </c>
      <c r="M10">
        <f>I10-L10</f>
        <v>-0.11250000000000004</v>
      </c>
    </row>
    <row r="11" spans="1:13" hidden="1" x14ac:dyDescent="0.3">
      <c r="A11">
        <v>9</v>
      </c>
      <c r="B11">
        <v>828</v>
      </c>
      <c r="C11" t="s">
        <v>53</v>
      </c>
      <c r="D11" t="s">
        <v>54</v>
      </c>
      <c r="E11" t="s">
        <v>55</v>
      </c>
      <c r="F11" t="s">
        <v>54</v>
      </c>
      <c r="G11" t="s">
        <v>56</v>
      </c>
      <c r="H11" t="s">
        <v>57</v>
      </c>
      <c r="I11">
        <v>0.72629999999999995</v>
      </c>
      <c r="K11" t="s">
        <v>57</v>
      </c>
      <c r="L11">
        <v>0.72629999999999995</v>
      </c>
      <c r="M11">
        <f>I11-L11</f>
        <v>0</v>
      </c>
    </row>
    <row r="12" spans="1:13" hidden="1" x14ac:dyDescent="0.3">
      <c r="A12">
        <v>10</v>
      </c>
      <c r="B12">
        <v>685</v>
      </c>
      <c r="C12" t="s">
        <v>58</v>
      </c>
      <c r="D12" t="s">
        <v>59</v>
      </c>
      <c r="E12" t="s">
        <v>60</v>
      </c>
      <c r="F12" t="s">
        <v>59</v>
      </c>
      <c r="G12" t="s">
        <v>61</v>
      </c>
      <c r="H12" t="s">
        <v>62</v>
      </c>
      <c r="I12">
        <v>0.65090000000000003</v>
      </c>
      <c r="K12" t="s">
        <v>62</v>
      </c>
      <c r="L12">
        <v>0.65090000000000003</v>
      </c>
      <c r="M12">
        <f>I12-L12</f>
        <v>0</v>
      </c>
    </row>
    <row r="13" spans="1:13" ht="294" x14ac:dyDescent="0.3">
      <c r="A13">
        <v>16</v>
      </c>
      <c r="B13">
        <v>621</v>
      </c>
      <c r="C13" t="s">
        <v>86</v>
      </c>
      <c r="D13" t="s">
        <v>87</v>
      </c>
      <c r="E13" s="2" t="s">
        <v>88</v>
      </c>
      <c r="F13" t="s">
        <v>87</v>
      </c>
      <c r="G13" t="s">
        <v>89</v>
      </c>
      <c r="H13" t="s">
        <v>90</v>
      </c>
      <c r="I13">
        <v>0.7288</v>
      </c>
      <c r="K13" t="s">
        <v>264</v>
      </c>
      <c r="L13">
        <v>0.83440000000000003</v>
      </c>
      <c r="M13">
        <f>I13-L13</f>
        <v>-0.10560000000000003</v>
      </c>
    </row>
    <row r="14" spans="1:13" x14ac:dyDescent="0.3">
      <c r="A14">
        <v>45</v>
      </c>
      <c r="B14">
        <v>168</v>
      </c>
      <c r="C14" t="s">
        <v>229</v>
      </c>
      <c r="D14" t="s">
        <v>230</v>
      </c>
      <c r="E14" t="s">
        <v>231</v>
      </c>
      <c r="F14" t="s">
        <v>230</v>
      </c>
      <c r="G14" t="s">
        <v>232</v>
      </c>
      <c r="H14" t="s">
        <v>233</v>
      </c>
      <c r="I14">
        <v>0.77549999999999997</v>
      </c>
      <c r="K14" t="s">
        <v>276</v>
      </c>
      <c r="L14">
        <v>0.88</v>
      </c>
      <c r="M14">
        <f>I14-L14</f>
        <v>-0.10450000000000004</v>
      </c>
    </row>
    <row r="15" spans="1:13" x14ac:dyDescent="0.3">
      <c r="A15">
        <v>24</v>
      </c>
      <c r="B15">
        <v>822</v>
      </c>
      <c r="C15" t="s">
        <v>126</v>
      </c>
      <c r="D15" t="s">
        <v>127</v>
      </c>
      <c r="E15" t="s">
        <v>128</v>
      </c>
      <c r="F15" t="s">
        <v>127</v>
      </c>
      <c r="G15" t="s">
        <v>129</v>
      </c>
      <c r="H15" t="s">
        <v>130</v>
      </c>
      <c r="I15">
        <v>0.6159</v>
      </c>
      <c r="K15" t="s">
        <v>269</v>
      </c>
      <c r="L15">
        <v>0.71099999999999997</v>
      </c>
      <c r="M15">
        <f>I15-L15</f>
        <v>-9.5099999999999962E-2</v>
      </c>
    </row>
    <row r="16" spans="1:13" x14ac:dyDescent="0.3">
      <c r="A16">
        <v>27</v>
      </c>
      <c r="B16">
        <v>521</v>
      </c>
      <c r="C16" t="s">
        <v>141</v>
      </c>
      <c r="D16" t="s">
        <v>142</v>
      </c>
      <c r="E16" t="s">
        <v>143</v>
      </c>
      <c r="F16" t="s">
        <v>142</v>
      </c>
      <c r="G16" t="s">
        <v>144</v>
      </c>
      <c r="H16" t="s">
        <v>145</v>
      </c>
      <c r="I16">
        <v>0.67800000000000005</v>
      </c>
      <c r="K16" t="s">
        <v>270</v>
      </c>
      <c r="L16">
        <v>0.73860000000000003</v>
      </c>
      <c r="M16">
        <f>I16-L16</f>
        <v>-6.0599999999999987E-2</v>
      </c>
    </row>
    <row r="17" spans="1:13" hidden="1" x14ac:dyDescent="0.3">
      <c r="A17">
        <v>15</v>
      </c>
      <c r="B17">
        <v>217</v>
      </c>
      <c r="C17" t="s">
        <v>82</v>
      </c>
      <c r="D17" t="s">
        <v>83</v>
      </c>
      <c r="E17" t="s">
        <v>84</v>
      </c>
      <c r="F17" t="s">
        <v>83</v>
      </c>
      <c r="G17" t="s">
        <v>85</v>
      </c>
      <c r="H17" t="s">
        <v>85</v>
      </c>
      <c r="I17">
        <v>1</v>
      </c>
      <c r="K17" t="s">
        <v>85</v>
      </c>
      <c r="L17">
        <v>1</v>
      </c>
      <c r="M17">
        <f>I17-L17</f>
        <v>0</v>
      </c>
    </row>
    <row r="18" spans="1:13" x14ac:dyDescent="0.3">
      <c r="A18">
        <v>3</v>
      </c>
      <c r="B18">
        <v>93</v>
      </c>
      <c r="C18" t="s">
        <v>23</v>
      </c>
      <c r="D18" t="s">
        <v>24</v>
      </c>
      <c r="E18" t="s">
        <v>25</v>
      </c>
      <c r="F18" t="s">
        <v>24</v>
      </c>
      <c r="G18" t="s">
        <v>26</v>
      </c>
      <c r="H18" t="s">
        <v>27</v>
      </c>
      <c r="I18">
        <v>0.87629999999999997</v>
      </c>
      <c r="K18" t="s">
        <v>256</v>
      </c>
      <c r="L18">
        <v>0.92369999999999997</v>
      </c>
      <c r="M18">
        <f>I18-L18</f>
        <v>-4.7399999999999998E-2</v>
      </c>
    </row>
    <row r="19" spans="1:13" hidden="1" x14ac:dyDescent="0.3">
      <c r="A19">
        <v>17</v>
      </c>
      <c r="B19">
        <v>36</v>
      </c>
      <c r="C19" t="s">
        <v>91</v>
      </c>
      <c r="D19" t="s">
        <v>92</v>
      </c>
      <c r="E19" t="s">
        <v>93</v>
      </c>
      <c r="F19" t="s">
        <v>92</v>
      </c>
      <c r="G19" t="s">
        <v>94</v>
      </c>
      <c r="H19" t="s">
        <v>95</v>
      </c>
      <c r="I19">
        <v>0.76729999999999998</v>
      </c>
      <c r="K19" t="s">
        <v>95</v>
      </c>
      <c r="L19">
        <v>0.76729999999999998</v>
      </c>
      <c r="M19">
        <f>I19-L19</f>
        <v>0</v>
      </c>
    </row>
    <row r="20" spans="1:13" x14ac:dyDescent="0.3">
      <c r="A20">
        <v>40</v>
      </c>
      <c r="B20">
        <v>389</v>
      </c>
      <c r="C20" t="s">
        <v>205</v>
      </c>
      <c r="D20" t="s">
        <v>206</v>
      </c>
      <c r="E20" t="s">
        <v>207</v>
      </c>
      <c r="F20" t="s">
        <v>206</v>
      </c>
      <c r="G20" t="s">
        <v>208</v>
      </c>
      <c r="H20" t="s">
        <v>209</v>
      </c>
      <c r="I20">
        <v>0.68779999999999997</v>
      </c>
      <c r="K20" t="s">
        <v>274</v>
      </c>
      <c r="L20">
        <v>0.72760000000000002</v>
      </c>
      <c r="M20">
        <f>I20-L20</f>
        <v>-3.9800000000000058E-2</v>
      </c>
    </row>
    <row r="21" spans="1:13" x14ac:dyDescent="0.3">
      <c r="A21">
        <v>14</v>
      </c>
      <c r="B21">
        <v>620</v>
      </c>
      <c r="C21" t="s">
        <v>77</v>
      </c>
      <c r="D21" t="s">
        <v>78</v>
      </c>
      <c r="E21" t="s">
        <v>79</v>
      </c>
      <c r="F21" t="s">
        <v>78</v>
      </c>
      <c r="G21" t="s">
        <v>80</v>
      </c>
      <c r="H21" t="s">
        <v>81</v>
      </c>
      <c r="I21">
        <v>0.90559999999999996</v>
      </c>
      <c r="K21" t="s">
        <v>263</v>
      </c>
      <c r="L21">
        <v>0.9395</v>
      </c>
      <c r="M21">
        <f>I21-L21</f>
        <v>-3.3900000000000041E-2</v>
      </c>
    </row>
    <row r="22" spans="1:13" x14ac:dyDescent="0.3">
      <c r="A22">
        <v>12</v>
      </c>
      <c r="B22">
        <v>315</v>
      </c>
      <c r="C22" t="s">
        <v>67</v>
      </c>
      <c r="D22" t="s">
        <v>68</v>
      </c>
      <c r="E22" t="s">
        <v>69</v>
      </c>
      <c r="F22" t="s">
        <v>68</v>
      </c>
      <c r="G22" t="s">
        <v>70</v>
      </c>
      <c r="H22" t="s">
        <v>71</v>
      </c>
      <c r="I22">
        <v>0.97250000000000003</v>
      </c>
      <c r="K22" t="s">
        <v>70</v>
      </c>
      <c r="L22">
        <v>1</v>
      </c>
      <c r="M22">
        <f>I22-L22</f>
        <v>-2.7499999999999969E-2</v>
      </c>
    </row>
    <row r="23" spans="1:13" hidden="1" x14ac:dyDescent="0.3">
      <c r="A23">
        <v>21</v>
      </c>
      <c r="B23">
        <v>441</v>
      </c>
      <c r="C23" t="s">
        <v>111</v>
      </c>
      <c r="D23" t="s">
        <v>112</v>
      </c>
      <c r="E23" t="s">
        <v>113</v>
      </c>
      <c r="F23" t="s">
        <v>112</v>
      </c>
      <c r="G23" t="s">
        <v>114</v>
      </c>
      <c r="H23" t="s">
        <v>115</v>
      </c>
      <c r="I23">
        <v>0.50129999999999997</v>
      </c>
      <c r="K23" t="s">
        <v>115</v>
      </c>
      <c r="L23">
        <v>0.50129999999999997</v>
      </c>
      <c r="M23">
        <f>I23-L23</f>
        <v>0</v>
      </c>
    </row>
    <row r="24" spans="1:13" x14ac:dyDescent="0.3">
      <c r="A24">
        <v>13</v>
      </c>
      <c r="B24">
        <v>257</v>
      </c>
      <c r="C24" t="s">
        <v>72</v>
      </c>
      <c r="D24" t="s">
        <v>73</v>
      </c>
      <c r="E24" t="s">
        <v>74</v>
      </c>
      <c r="F24" t="s">
        <v>73</v>
      </c>
      <c r="G24" t="s">
        <v>75</v>
      </c>
      <c r="H24" t="s">
        <v>76</v>
      </c>
      <c r="I24">
        <v>0.89639999999999997</v>
      </c>
      <c r="K24" t="s">
        <v>262</v>
      </c>
      <c r="L24">
        <v>0.91369999999999996</v>
      </c>
      <c r="M24">
        <f>I24-L24</f>
        <v>-1.7299999999999982E-2</v>
      </c>
    </row>
    <row r="25" spans="1:13" x14ac:dyDescent="0.3">
      <c r="A25">
        <v>19</v>
      </c>
      <c r="B25">
        <v>697</v>
      </c>
      <c r="C25" t="s">
        <v>101</v>
      </c>
      <c r="D25" t="s">
        <v>102</v>
      </c>
      <c r="E25" t="s">
        <v>103</v>
      </c>
      <c r="F25" t="s">
        <v>102</v>
      </c>
      <c r="G25" t="s">
        <v>104</v>
      </c>
      <c r="H25" t="s">
        <v>105</v>
      </c>
      <c r="I25">
        <v>0.50560000000000005</v>
      </c>
      <c r="K25" t="s">
        <v>266</v>
      </c>
      <c r="L25">
        <v>0.52100000000000002</v>
      </c>
      <c r="M25">
        <f>I25-L25</f>
        <v>-1.5399999999999969E-2</v>
      </c>
    </row>
    <row r="26" spans="1:13" x14ac:dyDescent="0.3">
      <c r="A26">
        <v>20</v>
      </c>
      <c r="B26">
        <v>162</v>
      </c>
      <c r="C26" t="s">
        <v>106</v>
      </c>
      <c r="D26" t="s">
        <v>107</v>
      </c>
      <c r="E26" t="s">
        <v>108</v>
      </c>
      <c r="F26" t="s">
        <v>107</v>
      </c>
      <c r="G26" t="s">
        <v>109</v>
      </c>
      <c r="H26" t="s">
        <v>110</v>
      </c>
      <c r="I26">
        <v>0.67689999999999995</v>
      </c>
      <c r="K26" t="s">
        <v>267</v>
      </c>
      <c r="L26">
        <v>0.69210000000000005</v>
      </c>
      <c r="M26">
        <f>I26-L26</f>
        <v>-1.5200000000000102E-2</v>
      </c>
    </row>
    <row r="27" spans="1:13" x14ac:dyDescent="0.3">
      <c r="A27">
        <v>1</v>
      </c>
      <c r="B27">
        <v>869</v>
      </c>
      <c r="C27" t="s">
        <v>13</v>
      </c>
      <c r="D27" t="s">
        <v>14</v>
      </c>
      <c r="E27" t="s">
        <v>15</v>
      </c>
      <c r="F27" t="s">
        <v>14</v>
      </c>
      <c r="G27" t="s">
        <v>16</v>
      </c>
      <c r="H27" t="s">
        <v>17</v>
      </c>
      <c r="I27">
        <v>0.64059999999999995</v>
      </c>
      <c r="K27" t="s">
        <v>255</v>
      </c>
      <c r="L27">
        <v>0.65280000000000005</v>
      </c>
      <c r="M27">
        <f>I27-L27</f>
        <v>-1.22000000000001E-2</v>
      </c>
    </row>
    <row r="28" spans="1:13" hidden="1" x14ac:dyDescent="0.3">
      <c r="A28">
        <v>26</v>
      </c>
      <c r="B28">
        <v>880</v>
      </c>
      <c r="C28" t="s">
        <v>136</v>
      </c>
      <c r="D28" t="s">
        <v>137</v>
      </c>
      <c r="E28" t="s">
        <v>138</v>
      </c>
      <c r="F28" t="s">
        <v>137</v>
      </c>
      <c r="G28" t="s">
        <v>139</v>
      </c>
      <c r="H28" t="s">
        <v>140</v>
      </c>
      <c r="I28">
        <v>0.22869999999999999</v>
      </c>
      <c r="K28" t="s">
        <v>140</v>
      </c>
      <c r="L28">
        <v>0.22869999999999999</v>
      </c>
      <c r="M28">
        <f>I28-L28</f>
        <v>0</v>
      </c>
    </row>
    <row r="29" spans="1:13" x14ac:dyDescent="0.3">
      <c r="A29">
        <v>22</v>
      </c>
      <c r="B29">
        <v>653</v>
      </c>
      <c r="C29" t="s">
        <v>116</v>
      </c>
      <c r="D29" t="s">
        <v>117</v>
      </c>
      <c r="E29" t="s">
        <v>118</v>
      </c>
      <c r="F29" t="s">
        <v>117</v>
      </c>
      <c r="G29" t="s">
        <v>119</v>
      </c>
      <c r="H29" t="s">
        <v>120</v>
      </c>
      <c r="I29">
        <v>0.53800000000000003</v>
      </c>
      <c r="K29" t="s">
        <v>268</v>
      </c>
      <c r="L29">
        <v>0.54049999999999998</v>
      </c>
      <c r="M29">
        <f>I29-L29</f>
        <v>-2.4999999999999467E-3</v>
      </c>
    </row>
    <row r="30" spans="1:13" hidden="1" x14ac:dyDescent="0.3">
      <c r="A30">
        <v>28</v>
      </c>
      <c r="B30">
        <v>380</v>
      </c>
      <c r="C30" t="s">
        <v>146</v>
      </c>
      <c r="D30" t="s">
        <v>147</v>
      </c>
      <c r="E30" t="s">
        <v>148</v>
      </c>
      <c r="F30" t="s">
        <v>147</v>
      </c>
      <c r="G30" t="s">
        <v>149</v>
      </c>
      <c r="H30" t="s">
        <v>150</v>
      </c>
      <c r="I30">
        <v>0.84950000000000003</v>
      </c>
      <c r="K30" t="s">
        <v>150</v>
      </c>
      <c r="L30">
        <v>0.84950000000000003</v>
      </c>
      <c r="M30">
        <f>I30-L30</f>
        <v>0</v>
      </c>
    </row>
    <row r="31" spans="1:13" x14ac:dyDescent="0.3">
      <c r="A31">
        <v>8</v>
      </c>
      <c r="B31">
        <v>753</v>
      </c>
      <c r="C31" t="s">
        <v>48</v>
      </c>
      <c r="D31" t="s">
        <v>49</v>
      </c>
      <c r="E31" t="s">
        <v>50</v>
      </c>
      <c r="F31" t="s">
        <v>49</v>
      </c>
      <c r="G31" t="s">
        <v>51</v>
      </c>
      <c r="H31" t="s">
        <v>52</v>
      </c>
      <c r="I31">
        <v>0.43330000000000002</v>
      </c>
      <c r="K31" t="s">
        <v>260</v>
      </c>
      <c r="L31">
        <v>0.43340000000000001</v>
      </c>
      <c r="M31">
        <f>I31-L31</f>
        <v>-9.9999999999988987E-5</v>
      </c>
    </row>
    <row r="32" spans="1:13" hidden="1" x14ac:dyDescent="0.3">
      <c r="A32">
        <v>30</v>
      </c>
      <c r="B32">
        <v>455</v>
      </c>
      <c r="C32" t="s">
        <v>156</v>
      </c>
      <c r="D32" t="s">
        <v>157</v>
      </c>
      <c r="E32" t="s">
        <v>158</v>
      </c>
      <c r="F32" t="s">
        <v>157</v>
      </c>
      <c r="G32" t="s">
        <v>159</v>
      </c>
      <c r="H32" t="s">
        <v>160</v>
      </c>
      <c r="I32">
        <v>0.54559999999999997</v>
      </c>
      <c r="K32" t="s">
        <v>160</v>
      </c>
      <c r="L32">
        <v>0.54559999999999997</v>
      </c>
      <c r="M32">
        <f>I32-L32</f>
        <v>0</v>
      </c>
    </row>
    <row r="33" spans="1:13" hidden="1" x14ac:dyDescent="0.3">
      <c r="A33">
        <v>31</v>
      </c>
      <c r="B33">
        <v>514</v>
      </c>
      <c r="C33" t="s">
        <v>161</v>
      </c>
      <c r="D33" t="s">
        <v>162</v>
      </c>
      <c r="E33" t="s">
        <v>163</v>
      </c>
      <c r="F33" t="s">
        <v>162</v>
      </c>
      <c r="G33" t="s">
        <v>164</v>
      </c>
      <c r="H33" t="s">
        <v>164</v>
      </c>
      <c r="I33">
        <v>1</v>
      </c>
      <c r="K33" t="s">
        <v>164</v>
      </c>
      <c r="L33">
        <v>1</v>
      </c>
      <c r="M33">
        <f>I33-L33</f>
        <v>0</v>
      </c>
    </row>
    <row r="34" spans="1:13" hidden="1" x14ac:dyDescent="0.3">
      <c r="A34">
        <v>32</v>
      </c>
      <c r="B34">
        <v>274</v>
      </c>
      <c r="C34" t="s">
        <v>165</v>
      </c>
      <c r="D34" t="s">
        <v>166</v>
      </c>
      <c r="E34" t="s">
        <v>167</v>
      </c>
      <c r="F34" t="s">
        <v>166</v>
      </c>
      <c r="G34" t="s">
        <v>168</v>
      </c>
      <c r="H34" t="s">
        <v>169</v>
      </c>
      <c r="I34">
        <v>0.87560000000000004</v>
      </c>
      <c r="K34" t="s">
        <v>169</v>
      </c>
      <c r="L34">
        <v>0.87560000000000004</v>
      </c>
      <c r="M34">
        <f>I34-L34</f>
        <v>0</v>
      </c>
    </row>
    <row r="35" spans="1:13" x14ac:dyDescent="0.3">
      <c r="A35">
        <v>7</v>
      </c>
      <c r="B35">
        <v>173</v>
      </c>
      <c r="C35" t="s">
        <v>43</v>
      </c>
      <c r="D35" t="s">
        <v>44</v>
      </c>
      <c r="E35" t="s">
        <v>45</v>
      </c>
      <c r="F35" t="s">
        <v>44</v>
      </c>
      <c r="G35" t="s">
        <v>46</v>
      </c>
      <c r="H35" t="s">
        <v>47</v>
      </c>
      <c r="I35">
        <v>0.58050000000000002</v>
      </c>
      <c r="K35" t="s">
        <v>259</v>
      </c>
      <c r="L35">
        <v>0.57299999999999995</v>
      </c>
      <c r="M35">
        <f>I35-L35</f>
        <v>7.5000000000000622E-3</v>
      </c>
    </row>
    <row r="36" spans="1:13" hidden="1" x14ac:dyDescent="0.3">
      <c r="A36">
        <v>34</v>
      </c>
      <c r="B36">
        <v>891</v>
      </c>
      <c r="C36" t="s">
        <v>175</v>
      </c>
      <c r="D36" t="s">
        <v>176</v>
      </c>
      <c r="E36" t="s">
        <v>177</v>
      </c>
      <c r="F36" t="s">
        <v>176</v>
      </c>
      <c r="G36" t="s">
        <v>178</v>
      </c>
      <c r="H36" t="s">
        <v>179</v>
      </c>
      <c r="I36">
        <v>0.38990000000000002</v>
      </c>
      <c r="K36" t="s">
        <v>179</v>
      </c>
      <c r="L36">
        <v>0.38990000000000002</v>
      </c>
      <c r="M36">
        <f>I36-L36</f>
        <v>0</v>
      </c>
    </row>
    <row r="37" spans="1:13" hidden="1" x14ac:dyDescent="0.3">
      <c r="A37">
        <v>35</v>
      </c>
      <c r="B37">
        <v>28</v>
      </c>
      <c r="C37" t="s">
        <v>180</v>
      </c>
      <c r="D37" t="s">
        <v>181</v>
      </c>
      <c r="E37" t="s">
        <v>182</v>
      </c>
      <c r="F37" t="s">
        <v>181</v>
      </c>
      <c r="G37" t="s">
        <v>183</v>
      </c>
      <c r="H37" t="s">
        <v>184</v>
      </c>
      <c r="I37">
        <v>0.7984</v>
      </c>
      <c r="K37" t="s">
        <v>184</v>
      </c>
      <c r="L37">
        <v>0.7984</v>
      </c>
      <c r="M37">
        <f>I37-L37</f>
        <v>0</v>
      </c>
    </row>
    <row r="38" spans="1:13" hidden="1" x14ac:dyDescent="0.3">
      <c r="A38">
        <v>36</v>
      </c>
      <c r="B38">
        <v>372</v>
      </c>
      <c r="C38" t="s">
        <v>185</v>
      </c>
      <c r="D38" t="s">
        <v>186</v>
      </c>
      <c r="E38" t="s">
        <v>187</v>
      </c>
      <c r="F38" t="s">
        <v>186</v>
      </c>
      <c r="G38" t="s">
        <v>188</v>
      </c>
      <c r="H38" t="s">
        <v>189</v>
      </c>
      <c r="I38">
        <v>0.45219999999999999</v>
      </c>
      <c r="K38" t="s">
        <v>189</v>
      </c>
      <c r="L38">
        <v>0.45219999999999999</v>
      </c>
      <c r="M38">
        <f>I38-L38</f>
        <v>0</v>
      </c>
    </row>
    <row r="39" spans="1:13" hidden="1" x14ac:dyDescent="0.3">
      <c r="A39">
        <v>37</v>
      </c>
      <c r="B39">
        <v>476</v>
      </c>
      <c r="C39" t="s">
        <v>190</v>
      </c>
      <c r="D39" t="s">
        <v>191</v>
      </c>
      <c r="E39" t="s">
        <v>192</v>
      </c>
      <c r="F39" t="s">
        <v>191</v>
      </c>
      <c r="G39" t="s">
        <v>193</v>
      </c>
      <c r="H39" t="s">
        <v>194</v>
      </c>
      <c r="I39">
        <v>0.75580000000000003</v>
      </c>
      <c r="K39" t="s">
        <v>194</v>
      </c>
      <c r="L39">
        <v>0.75580000000000003</v>
      </c>
      <c r="M39">
        <f>I39-L39</f>
        <v>0</v>
      </c>
    </row>
    <row r="40" spans="1:13" hidden="1" x14ac:dyDescent="0.3">
      <c r="A40">
        <v>38</v>
      </c>
      <c r="B40">
        <v>326</v>
      </c>
      <c r="C40" t="s">
        <v>195</v>
      </c>
      <c r="D40" t="s">
        <v>196</v>
      </c>
      <c r="E40" t="s">
        <v>197</v>
      </c>
      <c r="F40" t="s">
        <v>196</v>
      </c>
      <c r="G40" t="s">
        <v>198</v>
      </c>
      <c r="H40" t="s">
        <v>199</v>
      </c>
      <c r="I40">
        <v>0.23769999999999999</v>
      </c>
      <c r="K40" t="s">
        <v>199</v>
      </c>
      <c r="L40">
        <v>0.23769999999999999</v>
      </c>
      <c r="M40">
        <f>I40-L40</f>
        <v>0</v>
      </c>
    </row>
    <row r="41" spans="1:13" x14ac:dyDescent="0.3">
      <c r="A41">
        <v>4</v>
      </c>
      <c r="B41">
        <v>86</v>
      </c>
      <c r="C41" t="s">
        <v>28</v>
      </c>
      <c r="D41" t="s">
        <v>29</v>
      </c>
      <c r="E41" t="s">
        <v>30</v>
      </c>
      <c r="F41" t="s">
        <v>29</v>
      </c>
      <c r="G41" t="s">
        <v>31</v>
      </c>
      <c r="H41" t="s">
        <v>32</v>
      </c>
      <c r="I41">
        <v>0.3407</v>
      </c>
      <c r="K41" t="s">
        <v>257</v>
      </c>
      <c r="L41">
        <v>0.31879999999999997</v>
      </c>
      <c r="M41">
        <f>I41-L41</f>
        <v>2.1900000000000031E-2</v>
      </c>
    </row>
    <row r="42" spans="1:13" x14ac:dyDescent="0.3">
      <c r="A42">
        <v>33</v>
      </c>
      <c r="B42">
        <v>922</v>
      </c>
      <c r="C42" t="s">
        <v>170</v>
      </c>
      <c r="D42" t="s">
        <v>171</v>
      </c>
      <c r="E42" t="s">
        <v>172</v>
      </c>
      <c r="F42" t="s">
        <v>171</v>
      </c>
      <c r="G42" t="s">
        <v>173</v>
      </c>
      <c r="H42" t="s">
        <v>174</v>
      </c>
      <c r="I42">
        <v>0.86080000000000001</v>
      </c>
      <c r="K42" t="s">
        <v>272</v>
      </c>
      <c r="L42">
        <v>0.81499999999999995</v>
      </c>
      <c r="M42">
        <f>I42-L42</f>
        <v>4.5800000000000063E-2</v>
      </c>
    </row>
    <row r="43" spans="1:13" hidden="1" x14ac:dyDescent="0.3">
      <c r="A43">
        <v>41</v>
      </c>
      <c r="B43">
        <v>433</v>
      </c>
      <c r="C43" t="s">
        <v>210</v>
      </c>
      <c r="D43" t="s">
        <v>211</v>
      </c>
      <c r="E43" t="s">
        <v>212</v>
      </c>
      <c r="F43" t="s">
        <v>211</v>
      </c>
      <c r="G43" t="s">
        <v>213</v>
      </c>
      <c r="H43" t="s">
        <v>213</v>
      </c>
      <c r="I43">
        <v>1</v>
      </c>
      <c r="K43" t="s">
        <v>213</v>
      </c>
      <c r="L43">
        <v>1</v>
      </c>
      <c r="M43">
        <f>I43-L43</f>
        <v>0</v>
      </c>
    </row>
    <row r="44" spans="1:13" hidden="1" x14ac:dyDescent="0.3">
      <c r="A44">
        <v>42</v>
      </c>
      <c r="B44">
        <v>913</v>
      </c>
      <c r="C44" t="s">
        <v>214</v>
      </c>
      <c r="D44" t="s">
        <v>215</v>
      </c>
      <c r="E44" t="s">
        <v>216</v>
      </c>
      <c r="F44" t="s">
        <v>215</v>
      </c>
      <c r="G44" t="s">
        <v>217</v>
      </c>
      <c r="H44" t="s">
        <v>218</v>
      </c>
      <c r="I44">
        <v>0.77500000000000002</v>
      </c>
      <c r="K44" t="s">
        <v>218</v>
      </c>
      <c r="L44">
        <v>0.77500000000000002</v>
      </c>
      <c r="M44">
        <f>I44-L44</f>
        <v>0</v>
      </c>
    </row>
    <row r="45" spans="1:13" hidden="1" x14ac:dyDescent="0.3">
      <c r="A45">
        <v>43</v>
      </c>
      <c r="B45">
        <v>905</v>
      </c>
      <c r="C45" t="s">
        <v>219</v>
      </c>
      <c r="D45" t="s">
        <v>220</v>
      </c>
      <c r="E45" t="s">
        <v>221</v>
      </c>
      <c r="F45" t="s">
        <v>220</v>
      </c>
      <c r="G45" t="s">
        <v>222</v>
      </c>
      <c r="H45" t="s">
        <v>223</v>
      </c>
      <c r="I45">
        <v>0.96740000000000004</v>
      </c>
      <c r="K45" t="s">
        <v>223</v>
      </c>
      <c r="L45">
        <v>0.96740000000000004</v>
      </c>
      <c r="M45">
        <f>I45-L45</f>
        <v>0</v>
      </c>
    </row>
    <row r="46" spans="1:13" x14ac:dyDescent="0.3">
      <c r="A46">
        <v>48</v>
      </c>
      <c r="B46">
        <v>241</v>
      </c>
      <c r="C46" t="s">
        <v>244</v>
      </c>
      <c r="D46" t="s">
        <v>245</v>
      </c>
      <c r="E46" t="s">
        <v>246</v>
      </c>
      <c r="F46" t="s">
        <v>245</v>
      </c>
      <c r="G46" t="s">
        <v>247</v>
      </c>
      <c r="H46" t="s">
        <v>248</v>
      </c>
      <c r="I46">
        <v>0.67479999999999996</v>
      </c>
      <c r="K46" s="4" t="s">
        <v>277</v>
      </c>
      <c r="L46" s="4">
        <v>0.60829999999999995</v>
      </c>
      <c r="M46">
        <f>I46-L46</f>
        <v>6.6500000000000004E-2</v>
      </c>
    </row>
    <row r="47" spans="1:13" x14ac:dyDescent="0.3">
      <c r="A47">
        <v>44</v>
      </c>
      <c r="B47">
        <v>538</v>
      </c>
      <c r="C47" t="s">
        <v>224</v>
      </c>
      <c r="D47" t="s">
        <v>225</v>
      </c>
      <c r="E47" t="s">
        <v>226</v>
      </c>
      <c r="F47" t="s">
        <v>225</v>
      </c>
      <c r="G47" t="s">
        <v>227</v>
      </c>
      <c r="H47" t="s">
        <v>228</v>
      </c>
      <c r="I47">
        <v>0.66279999999999994</v>
      </c>
      <c r="K47" t="s">
        <v>275</v>
      </c>
      <c r="L47">
        <v>0.56889999999999996</v>
      </c>
      <c r="M47">
        <f>I47-L47</f>
        <v>9.3899999999999983E-2</v>
      </c>
    </row>
    <row r="48" spans="1:13" hidden="1" x14ac:dyDescent="0.3">
      <c r="A48">
        <v>46</v>
      </c>
      <c r="B48">
        <v>573</v>
      </c>
      <c r="C48" t="s">
        <v>234</v>
      </c>
      <c r="D48" t="s">
        <v>235</v>
      </c>
      <c r="E48" t="s">
        <v>236</v>
      </c>
      <c r="F48" t="s">
        <v>235</v>
      </c>
      <c r="G48" t="s">
        <v>237</v>
      </c>
      <c r="H48" t="s">
        <v>238</v>
      </c>
      <c r="I48">
        <v>0.66510000000000002</v>
      </c>
      <c r="K48" s="4" t="s">
        <v>238</v>
      </c>
      <c r="L48" s="4">
        <v>0.66510000000000002</v>
      </c>
      <c r="M48">
        <f>I48-L48</f>
        <v>0</v>
      </c>
    </row>
    <row r="49" spans="1:13" x14ac:dyDescent="0.3">
      <c r="A49">
        <v>29</v>
      </c>
      <c r="B49">
        <v>557</v>
      </c>
      <c r="C49" t="s">
        <v>151</v>
      </c>
      <c r="D49" t="s">
        <v>152</v>
      </c>
      <c r="E49" t="s">
        <v>153</v>
      </c>
      <c r="F49" t="s">
        <v>152</v>
      </c>
      <c r="G49" t="s">
        <v>154</v>
      </c>
      <c r="H49" t="s">
        <v>155</v>
      </c>
      <c r="I49">
        <v>0.93489999999999995</v>
      </c>
      <c r="K49" s="5" t="s">
        <v>271</v>
      </c>
      <c r="L49" s="5">
        <v>0.82379999999999998</v>
      </c>
      <c r="M49">
        <f>I49-L49</f>
        <v>0.11109999999999998</v>
      </c>
    </row>
    <row r="50" spans="1:13" x14ac:dyDescent="0.3">
      <c r="A50">
        <v>5</v>
      </c>
      <c r="B50">
        <v>369</v>
      </c>
      <c r="C50" t="s">
        <v>33</v>
      </c>
      <c r="D50" t="s">
        <v>34</v>
      </c>
      <c r="E50" t="s">
        <v>35</v>
      </c>
      <c r="F50" t="s">
        <v>34</v>
      </c>
      <c r="G50" t="s">
        <v>36</v>
      </c>
      <c r="H50" t="s">
        <v>37</v>
      </c>
      <c r="I50">
        <v>0.59450000000000003</v>
      </c>
      <c r="K50" s="3" t="s">
        <v>258</v>
      </c>
      <c r="L50" s="4">
        <v>0.40939999999999999</v>
      </c>
      <c r="M50">
        <f>I50-L50</f>
        <v>0.18510000000000004</v>
      </c>
    </row>
    <row r="51" spans="1:13" hidden="1" x14ac:dyDescent="0.3">
      <c r="A51">
        <v>49</v>
      </c>
      <c r="B51">
        <v>236</v>
      </c>
      <c r="C51" t="s">
        <v>249</v>
      </c>
      <c r="D51" t="s">
        <v>250</v>
      </c>
      <c r="E51" t="s">
        <v>251</v>
      </c>
      <c r="F51" t="s">
        <v>250</v>
      </c>
      <c r="G51" t="s">
        <v>252</v>
      </c>
      <c r="H51" t="s">
        <v>252</v>
      </c>
      <c r="I51">
        <v>0.99980000000000002</v>
      </c>
      <c r="K51" t="s">
        <v>252</v>
      </c>
      <c r="L51">
        <v>0.99980000000000002</v>
      </c>
      <c r="M51">
        <f>I51-L51</f>
        <v>0</v>
      </c>
    </row>
  </sheetData>
  <autoFilter ref="A1:M51" xr:uid="{00000000-0001-0000-0000-000000000000}">
    <filterColumn colId="12">
      <customFilters>
        <customFilter operator="notEqual" val="0"/>
      </customFilters>
    </filterColumn>
    <sortState xmlns:xlrd2="http://schemas.microsoft.com/office/spreadsheetml/2017/richdata2" ref="A3:M50">
      <sortCondition ref="M1:M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2025-11-21T04:33:35Z</dcterms:created>
  <dcterms:modified xsi:type="dcterms:W3CDTF">2025-11-21T06:32:54Z</dcterms:modified>
</cp:coreProperties>
</file>