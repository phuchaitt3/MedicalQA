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1-2025\"/>
    </mc:Choice>
  </mc:AlternateContent>
  <xr:revisionPtr revIDLastSave="0" documentId="13_ncr:1_{E8A5BAE5-CD88-4E5C-BC85-D49D233EF0E5}"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Sheet1!$A$1:$S$51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1" i="1" l="1"/>
  <c r="S4" i="1"/>
  <c r="S25" i="1"/>
  <c r="S38" i="1"/>
  <c r="S45" i="1"/>
  <c r="S8" i="1"/>
  <c r="S33" i="1"/>
  <c r="S32" i="1"/>
  <c r="S42" i="1"/>
  <c r="S12" i="1"/>
  <c r="S13" i="1"/>
  <c r="S24" i="1"/>
  <c r="S26" i="1"/>
  <c r="S21" i="1"/>
  <c r="S17" i="1"/>
  <c r="S7" i="1"/>
  <c r="S19" i="1"/>
  <c r="S35" i="1"/>
  <c r="S29" i="1"/>
  <c r="S9" i="1"/>
  <c r="S23" i="1"/>
  <c r="S46" i="1"/>
  <c r="S11" i="1"/>
  <c r="S15" i="1"/>
  <c r="S10" i="1"/>
  <c r="S28" i="1"/>
  <c r="S31" i="1"/>
  <c r="S30" i="1"/>
  <c r="S49" i="1"/>
  <c r="S50" i="1"/>
  <c r="S20" i="1"/>
  <c r="S34" i="1"/>
  <c r="S6" i="1"/>
  <c r="S22" i="1"/>
  <c r="S37" i="1"/>
  <c r="S36" i="1"/>
  <c r="S39" i="1"/>
  <c r="S40" i="1"/>
  <c r="S16" i="1"/>
  <c r="S18" i="1"/>
  <c r="S43" i="1"/>
  <c r="S44" i="1"/>
  <c r="S3" i="1"/>
  <c r="S47" i="1"/>
  <c r="S14" i="1"/>
  <c r="S48" i="1"/>
  <c r="S5" i="1"/>
  <c r="S27" i="1"/>
  <c r="S51" i="1"/>
  <c r="S2" i="1"/>
</calcChain>
</file>

<file path=xl/sharedStrings.xml><?xml version="1.0" encoding="utf-8"?>
<sst xmlns="http://schemas.openxmlformats.org/spreadsheetml/2006/main" count="467" uniqueCount="321">
  <si>
    <t>Sample_ID</t>
  </si>
  <si>
    <t>Original_Index</t>
  </si>
  <si>
    <t>Model</t>
  </si>
  <si>
    <t>System_Prompt</t>
  </si>
  <si>
    <t>Question</t>
  </si>
  <si>
    <t>Original_Context</t>
  </si>
  <si>
    <t>Full_Chunk_Score_Breakdown</t>
  </si>
  <si>
    <t>Augmented_Context_Used</t>
  </si>
  <si>
    <t>Ground_Truth_Answer</t>
  </si>
  <si>
    <t>Snippet_Long_EN_Answer</t>
  </si>
  <si>
    <t>Snippet_Long_EN_Avg-Score</t>
  </si>
  <si>
    <t>Snippet_Long_EN_ROUGE-L</t>
  </si>
  <si>
    <t>Snippet_Long_EN_BLEU</t>
  </si>
  <si>
    <t>Snippet_Long_EN_METEOR</t>
  </si>
  <si>
    <t>Snippet_Long_EN_BERTScore-F1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</si>
  <si>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</si>
  <si>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</si>
  <si>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</si>
  <si>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</si>
  <si>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</si>
  <si>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</si>
  <si>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</si>
  <si>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</si>
  <si>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</si>
  <si>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</si>
  <si>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</si>
  <si>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</si>
  <si>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</si>
  <si>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</si>
  <si>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</si>
  <si>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</si>
  <si>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</si>
  <si>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</si>
  <si>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</si>
  <si>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X2. [Final Score: 0.0000]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0.0000 / 0.0000 / 0.0000</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</si>
  <si>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</si>
  <si>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</si>
  <si>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</si>
  <si>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</si>
  <si>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X2. [Final Score: 0.0000]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0.0000 / 0.0000 / 0.0000</t>
  </si>
  <si>
    <t>Ở trẻ trên 3 tháng tuổi, dùng liều cao Cefoxitin có liên quan đến tăng tỷ lệ mắc bệnh bạch cầu ái toan và tăng AST.</t>
  </si>
  <si>
    <t>Ở trẻ em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</si>
  <si>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</si>
  <si>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</si>
  <si>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X2. [Final Score: 0.0000]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0.0000 / 0.0000 / 0.0000</t>
  </si>
  <si>
    <t>&lt;highlight&gt;Nghiên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bụng.&lt;/highlight&gt;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</si>
  <si>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Cây ổi chứa thành phần hóa học như tannin, tanin, pectin.</t>
  </si>
  <si>
    <t>Cây ổi chứa thành phần hóa học gồm: cao lá, hoa và quả của cây ổi có tác dụng ức chế các vi khuẩn tụ cầu vàng và E. coli.</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</si>
  <si>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</si>
  <si>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</si>
  <si>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0.7000]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0.0000 / 1.0000 / 1.0000
X2. [Final Score: 0.3000]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0.0000 / 0.0000</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</si>
  <si>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&lt;highlight&gt;Việc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trộn.&lt;/highlight&gt;</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</si>
  <si>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</si>
  <si>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</si>
  <si>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</si>
  <si>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</si>
  <si>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X2. [Final Score: 0.0000] Tam thất thường được sử dụng với nhiều dạng khác nhau như tán bột, dùng tươi, ủ rượu hoặc bào chế dưới dạng viên hoàn.
   - Unnormalized (Vec/BM25/Rerank): 0.7211 / 4.6126 / 0.7946
   - Normalized (Vec/BM25/Rerank):   0.0000 / 0.0000 / 0.0000</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</si>
  <si>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</si>
  <si>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</si>
  <si>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</si>
  <si>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</si>
  <si>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</si>
  <si>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Đọc kĩ hướng dẫn sử dụng trên gói Oresol điện giải.</t>
  </si>
  <si>
    <t>Đọc kỹ hướng dẫn sử dụng trên gói Oresol.</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</si>
  <si>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</si>
  <si>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</si>
  <si>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</si>
  <si>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</si>
  <si>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</si>
  <si>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</si>
  <si>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</si>
  <si>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</si>
  <si>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</si>
  <si>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</si>
  <si>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</si>
  <si>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</si>
  <si>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</si>
  <si>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</si>
  <si>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</si>
  <si>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</si>
  <si>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</si>
  <si>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X2. [Final Score: 0.0000]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0.0000 / 0.0000 / 0.0000</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</si>
  <si>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</si>
  <si>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</si>
  <si>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</si>
  <si>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</si>
  <si>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</si>
  <si>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X2. [Final Score: 0.0000] Đỉnh hạt dẹt, chiều dài mỗi hạt cỡ 2mm.
   - Unnormalized (Vec/BM25/Rerank): 0.5182 / 0.0000 / 0.6176
   - Normalized (Vec/BM25/Rerank):   0.0000 / 0.0000 / 0.0000</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</si>
  <si>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</si>
  <si>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</si>
  <si>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</si>
  <si>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</si>
  <si>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0.7000]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0.0000 / 1.0000 / 1.0000
X2. [Final Score: 0.3000]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0.0000 / 0.0000</t>
  </si>
  <si>
    <t>&lt;highlight&gt;Rối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dục?&lt;/highlight&gt;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</si>
  <si>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</si>
  <si>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</si>
  <si>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</si>
  <si>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</si>
  <si>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0.7000]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0.0000 / 1.0000 / 1.0000
X2. [Final Score: 0.3000]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0.0000 / 0.0000</t>
  </si>
  <si>
    <t>Quả cà dại hoa tím được coi là độc, có tác dụng nhuận tràng và làm dễ tiêu.</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</si>
  <si>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</si>
  <si>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</si>
  <si>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Các cận lâm sàng thường được dùng để chẩn đoán thoát vị hoành là siêu âm bụng, X – quang, chụp X – quang dạ dày cản quang, chụp X – quang phổi và chụp cắt lớp vi tính.</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</si>
  <si>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</si>
  <si>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</si>
  <si>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</si>
  <si>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</si>
  <si>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</si>
  <si>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</si>
  <si>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</si>
  <si>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0.7000]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0.0000 / 1.0000 / 1.0000
X2. [Final Score: 0.3000]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0.0000 / 0.0000</t>
  </si>
  <si>
    <t>&lt;highlight&gt;Trước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</si>
  <si>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</si>
  <si>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</si>
  <si>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</si>
  <si>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</si>
  <si>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</si>
  <si>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</si>
  <si>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</si>
  <si>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</si>
  <si>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</si>
  <si>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</si>
  <si>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X2. [Final Score: 0.0000]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</si>
  <si>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mạch…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</si>
  <si>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</si>
  <si>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</si>
  <si>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</si>
  <si>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</si>
  <si>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</si>
  <si>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</si>
  <si>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</si>
  <si>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</si>
  <si>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</si>
  <si>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</si>
  <si>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</si>
  <si>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</si>
  <si>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ra những suy nghĩ mất tập trung, ghi lại suy nghĩ của bạn sẽ giúp nhanh chóng xóa chúng đi và đảm bảo rằng bạn sẽ nhớ những suy nghĩ đó sau này.</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</si>
  <si>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</si>
  <si>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</si>
  <si>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0.7000]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0.0000 / 1.0000 / 1.0000
X2. [Final Score: 0.3000] Xem thêm: Tăng tiểu cầu nguyên phát, bạn đã biết gì về căn bệnh này?
   - Unnormalized (Vec/BM25/Rerank): 0.7926 / 4.8719 / 0.7574
   - Normalized (Vec/BM25/Rerank):   1.0000 / 0.0000 / 0.0000</t>
  </si>
  <si>
    <t>&lt;highlight&gt;Trong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này.&lt;/highlight&gt; Xem thêm: Tăng tiểu cầu nguyên phát, bạn đã biết gì về căn bệnh này?</t>
  </si>
  <si>
    <t>Những người mắc bệnh này có thể có số lượng tiểu cầu hơn 1 triệu.</t>
  </si>
  <si>
    <t>Những người mắc bệnh tăng tiểu cầu nguyên phát có thể có số lượng tiểu cầu hơn 1 triệu.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</si>
  <si>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</si>
  <si>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</si>
  <si>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0.0000
2. [Final Score: 0.5000]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0.0000 / 0.0000 / 1.0000</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</si>
  <si>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</si>
  <si>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</si>
  <si>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</si>
  <si>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</si>
  <si>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X2. [Final Score: 0.0000] Ngược lại, khi nồng độ TSH giảm và nồng độ T3, T4 tăng sẽ gây cường giáp.
   - Unnormalized (Vec/BM25/Rerank): 0.6737 / 2.4441 / 0.7667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</si>
  <si>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giáp.&lt;/highlight&gt; Ngược lại, khi nồng độ TSH giảm và nồng độ T3, T4 tăng sẽ gây cường giáp.</t>
  </si>
  <si>
    <t>Những hormonee thường được định lượng khi xét nghiệm tuyến giáp là hormonee giáp T4, T3, hormonee kiểm soát tuyến giáp TSH và các tự kháng thể tuyến giáp.</t>
  </si>
  <si>
    <t>Những hormonee thường được định lượng khi xét nghiệm tuyến giáp là hormonee giáp thyroxine (T4), triiodothyronine (T3), hormonee kiểm soát tuyến giáp hormone kích thích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</si>
  <si>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</si>
  <si>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</si>
  <si>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</si>
  <si>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</si>
  <si>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</si>
  <si>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</si>
  <si>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</si>
  <si>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</si>
  <si>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X2. [Final Score: 0.0000]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0.0000 / 0.0000 / 0.0000</t>
  </si>
  <si>
    <t>&lt;highlight&gt;Có thể xạ trị toàn bộ não nếu có khối u di căn lên não. Phương pháp này cũng có thể thực hiện kèm theo sau phẫu thuật để giảm sự lây lan của tế bào ung thư.&lt;/highlight&gt;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</si>
  <si>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Phương pháp này cũng có thể thực hiện kèm theo sau phẫu thuật để giảm sự lây lan ung thư.</t>
  </si>
  <si>
    <t>Xạ trị toàn bộ não có thể được thực hiện kèm theo sau phẫu thuật để giảm sự lây lan của tế bào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</si>
  <si>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</si>
  <si>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</si>
  <si>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X2. [Final Score: 0.0000] Toàn yết là tên dược liệu từ con bọ cạp. Còn có tên khác là toàn trùng, yết tử, yết vĩ.
   - Unnormalized (Vec/BM25/Rerank): 0.6964 / 10.0343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</si>
  <si>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</si>
  <si>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</si>
  <si>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</si>
  <si>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</si>
  <si>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</si>
  <si>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X2. [Final Score: 0.0000]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0.0000 / 0.0000 / 0.0000</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</si>
  <si>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</si>
  <si>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</si>
  <si>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</si>
  <si>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</si>
  <si>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X2. [Final Score: 0.0000] Đồng thời hầu họng cho phép luồng không khí đi qua thanh quản.
   - Unnormalized (Vec/BM25/Rerank): 0.7116 / 3.6263 / 0.7233
   - Normalized (Vec/BM25/Rerank):   0.0000 / 0.0000 / 0.0000</t>
  </si>
  <si>
    <t>&lt;highlight&gt;Hầu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hầu họng cho phép luồng không khí đi qua thanh quản.</t>
  </si>
  <si>
    <t>Về mặt bên, hầu họng được tiếp giáp với trụ amidan trước và sau. Phía sau, thành hầu được cấu tạo phần lớn bởi các cơ co thắt hầu.</t>
  </si>
  <si>
    <t>Hầu họng được cấu tạo từ vòm miệng mềm đến nắp thanh quản. Về mặt bên, hầu họng được tiếp giáp với trụ amidan trước và sau. Phía sau, thành hầu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</si>
  <si>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</si>
  <si>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</si>
  <si>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X2. [Final Score: 0.0000]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0.0000 / 0.0000 / 0.0000</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</si>
  <si>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</si>
  <si>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</si>
  <si>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Quá trình tiết Adrenaline diễn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</si>
  <si>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</si>
  <si>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</si>
  <si>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X2. [Final Score: 0.0000] Trong mỗi hạt hạnh nhân chứa 1/2 trọng lượng là dầu. Hạt hạnh nhân chín sẽ được ép dầu, nếu không qua tinh chế thì gọi là dầu hạnh nhân thô.
   - Unnormalized (Vec/BM25/Rerank): 0.8100 / 6.2128 / 0.7213
   - Normalized (Vec/BM25/Rerank):   0.0000 / 0.0000 / 0.0000</t>
  </si>
  <si>
    <t>Trong mỗi hạt hạnh nhân chứa 1/2 trọng lượng là dầu. Hạt hạnh nhân chín sẽ được ép dầu, nếu không qua tinh chế thì gọi là dầu hạnh nhân thô. &lt;highlight&gt;Dầu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nướng.&lt;/highlight&gt;</t>
  </si>
  <si>
    <t>Dầu hạnh nhân có hai vị là vị ngọt và vị đắng.</t>
  </si>
  <si>
    <t>Dầu hạnh nhân có hai vị ngọt và vị đắng.</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</si>
  <si>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</si>
  <si>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&lt;highlight&gt;Bệnh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</si>
  <si>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</si>
  <si>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</si>
  <si>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</si>
  <si>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</si>
  <si>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</si>
  <si>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</si>
  <si>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</si>
  <si>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suy giảm lượng máu bơm đi nuôi cơ thể và ứ máu tại thất trái.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</si>
  <si>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</si>
  <si>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</si>
  <si>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</si>
  <si>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</si>
  <si>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</si>
  <si>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</si>
  <si>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</si>
  <si>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X2. [Final Score: 0.0000] Trong ngăn có phấn hoa và mật, đồng thời chúng dùng để đẻ trứng.
   - Unnormalized (Vec/BM25/Rerank): 0.5470 / 0.0000 / 0.7351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</si>
  <si>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ngăn.&lt;/highlight&gt; Trong ngăn có phấn hoa và mật, đồng thời chúng dùng để đẻ trứng.</t>
  </si>
  <si>
    <t>Vì ong đen thường sống trong đốt tre, cây nứa.</t>
  </si>
  <si>
    <t>Ong đen có tên gọi là Trúc phong vì trúc là cây tre, cây nứa; phong là con ong, vì con ong này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</si>
  <si>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</si>
  <si>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</si>
  <si>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</si>
  <si>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&lt;highlight&gt;Aldosterone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</si>
  <si>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</si>
  <si>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</si>
  <si>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</si>
  <si>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</si>
  <si>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X2. [Final Score: 0.0000]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0.0000 / 0.0000 / 0.0000</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</si>
  <si>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&lt;highlight&gt;Thân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</si>
  <si>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</si>
  <si>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</si>
  <si>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</si>
  <si>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</si>
  <si>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</si>
  <si>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Đau đầu khi ho có thể do nguyên nhân từ cấu trúc não bộ hoặc từ những căng thẳng như hắt hơi, cúi xuống, đi tiêu.</t>
  </si>
  <si>
    <t>Khi ho, đau đầu thường do nguyên nhân do các vấn đề về cấu trúc trong não bộ.</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</si>
  <si>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</si>
  <si>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</si>
  <si>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X2. [Final Score: 0.0000]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0.0000 / 0.0000 / 0.0000</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</si>
  <si>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&lt;highlight&gt;U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sản.&lt;/highlight&gt;</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</si>
  <si>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</si>
  <si>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</si>
  <si>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</si>
  <si>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</si>
  <si>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X2. [Final Score: 0.0000] Lưỡi có một phần di động và một phần cố định gọi là đáy lưỡi. Mặt trên lưỡi hay lưng lưỡi được phủ lớp niêm mạc sần sùi hồng nhạt.
   - Unnormalized (Vec/BM25/Rerank): 0.6404 / 2.5149 / 0.7295
   - Normalized (Vec/BM25/Rerank):   0.0000 / 0.0000 / 0.0000</t>
  </si>
  <si>
    <t>Ở hai bên thắng lưỡi, có thể thấy 2 u thịt do cơ cằm lưỡi đội lên.</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</si>
  <si>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</si>
  <si>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</si>
  <si>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</si>
  <si>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</si>
  <si>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</si>
  <si>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</si>
  <si>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</si>
  <si>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X2. [Final Score: 0.0000]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0.0000 / 0.0000 / 0.0000</t>
  </si>
  <si>
    <t>&lt;highlight&gt;Cơ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ra.&lt;/highlight&gt;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</si>
  <si>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</si>
  <si>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</si>
  <si>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</si>
  <si>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</si>
  <si>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X2. [Final Score: 0.0000] U tụy nội tiết sản xuất hormone gastrin. Đây là loại hormon tuyến tụy có chức năng kích thích dạ dày tiết ra a xít.
   - Unnormalized (Vec/BM25/Rerank): 0.7589 / 2.8646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</si>
  <si>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</si>
  <si>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</si>
  <si>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có thể dẫn đến thủng dạ dày.</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</si>
  <si>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</si>
  <si>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</si>
  <si>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</si>
  <si>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</si>
  <si>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 Hạt Cau.</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</si>
  <si>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</si>
  <si>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</si>
  <si>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X2. [Final Score: 0.0000]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0.0000 / 0.0000 / 0.0000</t>
  </si>
  <si>
    <t>&lt;highlight&gt;Bác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không.&lt;/highlight&gt;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</si>
  <si>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</si>
  <si>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</si>
  <si>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</si>
  <si>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</si>
  <si>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</si>
  <si>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</si>
  <si>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</si>
  <si>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X2. [Final Score: 0.0000] Cây Hạ khô thảo không chịu được nắng nóng.
   - Unnormalized (Vec/BM25/Rerank): 0.7007 / 5.8059 / 0.7359
   - Normalized (Vec/BM25/Rerank):   0.0000 / 0.0000 / 0.0000</t>
  </si>
  <si>
    <t>&lt;highlight&gt;Cây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18°C.&lt;/highlight&gt; Cây Hạ khô thảo không chịu được nắng nóng.</t>
  </si>
  <si>
    <t>Môi trường ẩm ướt, mưa nhiều, nhiệt độ tầm 15 – 18°C.</t>
  </si>
  <si>
    <t>Hạ khô thảo dễ mọc tự nhiên ở các vùng có độ cao 1.000 – 1.500m so với mực nước biển. Cây Hạ khô thảo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</si>
  <si>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</si>
  <si>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</si>
  <si>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X2. [Final Score: 0.0000]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0.0000 / 0.0000 / 0.0000</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</si>
  <si>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xanh.&lt;/highlight&gt;</t>
  </si>
  <si>
    <t>Nàng nàng ra hoa quả nhiều hàng năm.</t>
  </si>
  <si>
    <t>From_highlight_EN_Answer</t>
  </si>
  <si>
    <t>From_highlight_EN_Avg-Score</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</si>
  <si>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</si>
  <si>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</si>
  <si>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</si>
  <si>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</si>
  <si>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Liều dùng thông thường của Tam thất là 0,9 – 4,5 g (không quá 9 g một ngày).</t>
  </si>
  <si>
    <t>Bạn cần đọc kĩ hướng dẫn sử dụng trên gói Oresol điện giải.</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</si>
  <si>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</si>
  <si>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</si>
  <si>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</si>
  <si>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</si>
  <si>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</si>
  <si>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</si>
  <si>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</si>
  <si>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</si>
  <si>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Có thể xóa đi sự phiền nhiễu khi đang cố gắng tập trung làm việc bằng cách viết suy nghĩ của mình ra, ghi lại suy nghĩ của mình sẽ giúp nhanh chóng xóa chúng đi và đảm bảo rằng bạn sẽ nhớ chúng sau này.</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</si>
  <si>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</si>
  <si>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Xạ trị toàn bộ não có thể được thực hiện kèm theo phẫu thuật để giảm sự lây lan ung thư.</t>
  </si>
  <si>
    <t>Ung thư ruột non xuất hiện tắc ruột trong 10% các trường hợp.</t>
  </si>
  <si>
    <t>Hầu họng được cấu tạo phần lớn bởi các cơ co thắt hầu.</t>
  </si>
  <si>
    <t>Chẩn đoán chính xác u nhú thanh quản cần sử dụng sinh thiết, bao gồm xét nghiệm bằng kính hiển vi và xét nghiệm HPV trên một mẫu sinh thiết.</t>
  </si>
  <si>
    <t>Suy tim trái gây ra hậu quả là người bệnh bị suy giảm lượng máu bơm đi nuôi cơ thể trong một phút và/hoặc sung huyết phổi (ứ máu ở hệ tuần hoàn phổi).</t>
  </si>
  <si>
    <t>Ong đen có tên gọi là Trúc phong vì nó là con ong sống trong đốt tre cho nên có tên như vậy.</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</si>
  <si>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</si>
  <si>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</si>
  <si>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Cơ thể mỗi người có 3 cặp tuyến nước bọt chính là: tuyến dưới hàm, tuyến mang tai, tuyến dưới lưỡi.</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</si>
  <si>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</si>
  <si>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</si>
  <si>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Hạ khô thảo dễ mọc tự nhiên ở các vùng có độ cao 1.000 – 1.500m so với mực nước biển. Cây mọc tốt nhất trong môi trường ẩm ướt, mưa nhiều, nhiệt độ tầm 15 – 18°C.</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</si>
  <si>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</si>
  <si>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r>
      <t xml:space="preserve">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t>
    </r>
    <r>
      <rPr>
        <b/>
        <sz val="11"/>
        <color theme="1"/>
        <rFont val="Arial"/>
        <family val="2"/>
        <scheme val="minor"/>
      </rPr>
      <t>Đặc điểm dược liệu</t>
    </r>
    <r>
      <rPr>
        <sz val="11"/>
        <color theme="1"/>
        <rFont val="Arial"/>
        <family val="2"/>
        <scheme val="minor"/>
      </rPr>
      <t xml:space="preserve">: </t>
    </r>
    <r>
      <rPr>
        <b/>
        <sz val="11"/>
        <color theme="1"/>
        <rFont val="Arial"/>
        <family val="2"/>
        <scheme val="minor"/>
      </rPr>
      <t>Đoạn thân (cành) vuông, có mấu gai, hình như lưỡi câu, được cắt thành đoạn 2 – 3cm, đường kính 5mm</t>
    </r>
    <r>
      <rPr>
        <sz val="11"/>
        <color theme="1"/>
        <rFont val="Arial"/>
        <family val="2"/>
        <scheme val="minor"/>
      </rPr>
      <t>.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r>
  </si>
  <si>
    <r>
      <t xml:space="preserve">Làm thế nào để chẩn đoán chính xác </t>
    </r>
    <r>
      <rPr>
        <b/>
        <sz val="11"/>
        <color theme="1"/>
        <rFont val="Arial"/>
        <family val="2"/>
        <scheme val="minor"/>
      </rPr>
      <t>u nhú thanh quản?</t>
    </r>
  </si>
  <si>
    <r>
      <t xml:space="preserve">1. [Final Score: 1.0000] </t>
    </r>
    <r>
      <rPr>
        <b/>
        <sz val="11"/>
        <color theme="1"/>
        <rFont val="Arial"/>
        <family val="2"/>
        <scheme val="minor"/>
      </rPr>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t>
    </r>
    <r>
      <rPr>
        <sz val="11"/>
        <color theme="1"/>
        <rFont val="Arial"/>
        <family val="2"/>
        <scheme val="minor"/>
      </rPr>
      <t xml:space="preserve"> &gt;&gt; Xem thêm: Hội chứng phổi do virus Hanta: Nguyên nhân, chẩn đoán và điều trị </t>
    </r>
    <r>
      <rPr>
        <b/>
        <sz val="11"/>
        <color theme="1"/>
        <rFont val="Arial"/>
        <family val="2"/>
        <scheme val="minor"/>
      </rPr>
      <t xml:space="preserve">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t>
    </r>
    <r>
      <rPr>
        <b/>
        <u/>
        <sz val="11"/>
        <color theme="1"/>
        <rFont val="Arial"/>
        <family val="2"/>
        <scheme val="minor"/>
      </rPr>
      <t>Chỉ có thể chẩn đoán xác định u nhú thanh quản thông qua sinh thiết. Bao gồm xét nghiệm bằng kính hiển vi và xét nghiệm HPV trên một mẫu sinh thiết.</t>
    </r>
    <r>
      <rPr>
        <sz val="11"/>
        <color theme="1"/>
        <rFont val="Arial"/>
        <family val="2"/>
        <scheme val="minor"/>
      </rPr>
      <t xml:space="preserve">
   - Unnormalized (Vec/BM25/Rerank): 0.9112 / 10.0461 / 0.8081
   - Normalized (Vec/BM25/Rerank):   1.0000 / 1.0000 / 1.0000
X2. [Final Score: 0.0000] Các mẫu sinh thiết được thu thập dưới gây mê toàn thân, qua nội soi thanh quản trực tiếp hoặc nội soi phế quản sợi quang.
   - Unnormalized (Vec/BM25/Rerank): 0.6426 / 3.1325 / 0.7849
   - Normalized (Vec/BM25/Rerank):   0.0000 / 0.0000 / 0.0000</t>
    </r>
  </si>
  <si>
    <r>
      <t xml:space="preserve">Phương pháp </t>
    </r>
    <r>
      <rPr>
        <b/>
        <sz val="11"/>
        <color theme="1"/>
        <rFont val="Arial"/>
        <family val="2"/>
        <scheme val="minor"/>
      </rPr>
      <t>cận lâm sàng nào thường được dùng để chẩn đoán thoát vị hoành</t>
    </r>
    <r>
      <rPr>
        <sz val="11"/>
        <color theme="1"/>
        <rFont val="Arial"/>
        <family val="2"/>
        <scheme val="minor"/>
      </rPr>
      <t>?</t>
    </r>
  </si>
  <si>
    <r>
      <t xml:space="preserve">1. [Final Score: 0.7000] </t>
    </r>
    <r>
      <rPr>
        <b/>
        <sz val="11"/>
        <color theme="1"/>
        <rFont val="Arial"/>
        <family val="2"/>
        <scheme val="minor"/>
      </rPr>
      <t>Các cận lâm sàng thường dùng để chẩn đoán thoát vị hoành là</t>
    </r>
    <r>
      <rPr>
        <sz val="11"/>
        <color theme="1"/>
        <rFont val="Arial"/>
        <family val="2"/>
        <scheme val="minor"/>
      </rPr>
      <t xml:space="preserve">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0.0000 / 1.0000 / 1.0000
X2. [Final Score: 0.3000] Chẩn đoán thoát vị hoành cần phối hợp hỏi bệnh, khám lâm sàng và cận lâm sàng. Tuỳ theo tuổi, dấu hiệu bệnh mà bác sĩ sẽ có các xét nghiệm phù hợp.
   - Unnormalized (Vec/BM25/Rerank): 0.8654 / 14.4323 / 0.8271
   - Normalized (Vec/BM25/Rerank):   1.0000 / 0.0000 / 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</si>
</sst>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amily val="2"/>
    </font>
    <font>
      <sz val="11"/>
      <color rgb="FFFF0000"/>
      <name val="Arial"/>
      <family val="2"/>
      <scheme val="minor"/>
    </font>
    <font>
      <b/>
      <sz val="11"/>
      <color theme="1"/>
      <name val="Arial"/>
      <family val="2"/>
      <scheme val="minor"/>
    </font>
    <font>
      <b/>
      <u/>
      <sz val="11"/>
      <color theme="1"/>
      <name val="Arial"/>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2" borderId="0" xfId="0" applyFont="1" applyFill="1"/>
    <xf numFmtId="0" fontId="0" fillId="2" borderId="0" xfId="0" applyFill="1"/>
    <xf numFmtId="0" fontId="0" fillId="3" borderId="0" xfId="0" applyFill="1"/>
    <xf numFmtId="0" fontId="0" fillId="4" borderId="0" xfId="0" applyFill="1"/>
    <xf numFmtId="0" fontId="3" fillId="0" borderId="0" xfId="0" applyFont="1"/>
    <xf numFmtId="0" fontId="0" fillId="0" borderId="0" xfId="0" applyAlignment="1">
      <alignment wrapText="1"/>
    </xf>
    <xf numFmtId="0" fontId="0" fillId="0" borderId="0" xfId="0" applyAlignment="1"/>
    <xf numFmtId="0" fontId="0" fillId="4" borderId="0" xfId="0" applyFill="1" applyAlignment="1">
      <alignment wrapText="1"/>
    </xf>
    <xf numFmtId="0" fontId="0" fillId="4" borderId="0" xfId="0" applyFill="1" applyAlignment="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51"/>
  <sheetViews>
    <sheetView tabSelected="1" topLeftCell="A5" zoomScale="184" zoomScaleNormal="184" workbookViewId="0">
      <selection activeCell="G7" sqref="G7"/>
    </sheetView>
  </sheetViews>
  <sheetFormatPr defaultRowHeight="14" x14ac:dyDescent="0.3"/>
  <cols>
    <col min="7" max="7" width="66.4140625" customWidth="1"/>
    <col min="8" max="8" width="8.6640625" style="8"/>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Q1" s="1" t="s">
        <v>285</v>
      </c>
      <c r="R1" s="1" t="s">
        <v>286</v>
      </c>
    </row>
    <row r="2" spans="1:19" hidden="1" x14ac:dyDescent="0.3">
      <c r="A2">
        <v>0</v>
      </c>
      <c r="B2">
        <v>883</v>
      </c>
      <c r="C2" t="s">
        <v>15</v>
      </c>
      <c r="D2" t="s">
        <v>16</v>
      </c>
      <c r="E2" t="s">
        <v>17</v>
      </c>
      <c r="F2" t="s">
        <v>18</v>
      </c>
      <c r="G2" t="s">
        <v>19</v>
      </c>
      <c r="H2" t="s">
        <v>20</v>
      </c>
      <c r="I2" t="s">
        <v>21</v>
      </c>
      <c r="J2" t="s">
        <v>21</v>
      </c>
      <c r="K2">
        <v>1</v>
      </c>
      <c r="L2">
        <v>1</v>
      </c>
      <c r="M2">
        <v>1</v>
      </c>
      <c r="N2">
        <v>0.99990000000000001</v>
      </c>
      <c r="O2">
        <v>1</v>
      </c>
      <c r="Q2" t="s">
        <v>21</v>
      </c>
      <c r="R2">
        <v>1</v>
      </c>
      <c r="S2">
        <f>K2-R2</f>
        <v>0</v>
      </c>
    </row>
    <row r="3" spans="1:19" s="5" customFormat="1" x14ac:dyDescent="0.3">
      <c r="A3" s="5">
        <v>43</v>
      </c>
      <c r="B3" s="5">
        <v>905</v>
      </c>
      <c r="C3" s="5" t="s">
        <v>15</v>
      </c>
      <c r="D3" s="5" t="s">
        <v>16</v>
      </c>
      <c r="E3" s="5" t="s">
        <v>248</v>
      </c>
      <c r="F3" s="5" t="s">
        <v>249</v>
      </c>
      <c r="G3" s="5" t="s">
        <v>250</v>
      </c>
      <c r="H3" s="10" t="s">
        <v>251</v>
      </c>
      <c r="I3" s="5" t="s">
        <v>252</v>
      </c>
      <c r="J3" s="5" t="s">
        <v>253</v>
      </c>
      <c r="K3" s="5">
        <v>0.60060000000000002</v>
      </c>
      <c r="L3" s="5">
        <v>0.67920000000000003</v>
      </c>
      <c r="M3" s="5">
        <v>0.3397</v>
      </c>
      <c r="N3" s="5">
        <v>0.51659999999999995</v>
      </c>
      <c r="O3" s="5">
        <v>0.86709999999999998</v>
      </c>
      <c r="Q3" s="5" t="s">
        <v>311</v>
      </c>
      <c r="R3" s="5">
        <v>0.96740000000000004</v>
      </c>
      <c r="S3" s="5">
        <f>K3-R3</f>
        <v>-0.36680000000000001</v>
      </c>
    </row>
    <row r="4" spans="1:19" hidden="1" x14ac:dyDescent="0.3">
      <c r="A4">
        <v>2</v>
      </c>
      <c r="B4">
        <v>57</v>
      </c>
      <c r="C4" t="s">
        <v>15</v>
      </c>
      <c r="D4" t="s">
        <v>16</v>
      </c>
      <c r="E4" t="s">
        <v>27</v>
      </c>
      <c r="F4" t="s">
        <v>28</v>
      </c>
      <c r="G4" t="s">
        <v>29</v>
      </c>
      <c r="H4" t="s">
        <v>28</v>
      </c>
      <c r="I4" t="s">
        <v>30</v>
      </c>
      <c r="J4" t="s">
        <v>31</v>
      </c>
      <c r="K4">
        <v>0.66349999999999998</v>
      </c>
      <c r="L4">
        <v>0.75470000000000004</v>
      </c>
      <c r="M4">
        <v>0.39689999999999998</v>
      </c>
      <c r="N4">
        <v>0.57940000000000003</v>
      </c>
      <c r="O4">
        <v>0.92300000000000004</v>
      </c>
      <c r="Q4" t="s">
        <v>31</v>
      </c>
      <c r="R4">
        <v>0.66349999999999998</v>
      </c>
      <c r="S4">
        <f>K4-R4</f>
        <v>0</v>
      </c>
    </row>
    <row r="5" spans="1:19" ht="196" x14ac:dyDescent="0.3">
      <c r="A5">
        <v>47</v>
      </c>
      <c r="B5">
        <v>181</v>
      </c>
      <c r="C5" t="s">
        <v>15</v>
      </c>
      <c r="D5" t="s">
        <v>16</v>
      </c>
      <c r="E5" s="6" t="s">
        <v>271</v>
      </c>
      <c r="F5" s="8" t="s">
        <v>315</v>
      </c>
      <c r="G5" s="7" t="s">
        <v>316</v>
      </c>
      <c r="H5" s="8" t="s">
        <v>315</v>
      </c>
      <c r="I5" t="s">
        <v>272</v>
      </c>
      <c r="J5" s="11" t="s">
        <v>273</v>
      </c>
      <c r="K5">
        <v>0.64019999999999999</v>
      </c>
      <c r="L5">
        <v>0.68830000000000002</v>
      </c>
      <c r="M5">
        <v>0.43459999999999999</v>
      </c>
      <c r="N5">
        <v>0.55840000000000001</v>
      </c>
      <c r="O5">
        <v>0.87970000000000004</v>
      </c>
      <c r="Q5" t="s">
        <v>272</v>
      </c>
      <c r="R5">
        <v>1</v>
      </c>
      <c r="S5">
        <f>K5-R5</f>
        <v>-0.35980000000000001</v>
      </c>
    </row>
    <row r="6" spans="1:19" s="5" customFormat="1" ht="294" x14ac:dyDescent="0.3">
      <c r="A6" s="5">
        <v>33</v>
      </c>
      <c r="B6" s="5">
        <v>922</v>
      </c>
      <c r="C6" s="5" t="s">
        <v>15</v>
      </c>
      <c r="D6" s="5" t="s">
        <v>16</v>
      </c>
      <c r="E6" s="5" t="s">
        <v>317</v>
      </c>
      <c r="F6" s="5" t="s">
        <v>195</v>
      </c>
      <c r="G6" s="9" t="s">
        <v>318</v>
      </c>
      <c r="H6" s="10" t="s">
        <v>196</v>
      </c>
      <c r="I6" s="5" t="s">
        <v>197</v>
      </c>
      <c r="J6" s="5" t="s">
        <v>198</v>
      </c>
      <c r="K6" s="5">
        <v>0.47370000000000001</v>
      </c>
      <c r="L6" s="5">
        <v>0.52780000000000005</v>
      </c>
      <c r="M6" s="5">
        <v>0.1321</v>
      </c>
      <c r="N6" s="5">
        <v>0.3906</v>
      </c>
      <c r="O6" s="5">
        <v>0.84440000000000004</v>
      </c>
      <c r="Q6" s="5" t="s">
        <v>306</v>
      </c>
      <c r="R6" s="5">
        <v>0.81499999999999995</v>
      </c>
      <c r="S6" s="5">
        <f>K6-R6</f>
        <v>-0.34129999999999994</v>
      </c>
    </row>
    <row r="7" spans="1:19" ht="280" x14ac:dyDescent="0.3">
      <c r="A7">
        <v>16</v>
      </c>
      <c r="B7">
        <v>621</v>
      </c>
      <c r="C7" t="s">
        <v>15</v>
      </c>
      <c r="D7" t="s">
        <v>16</v>
      </c>
      <c r="E7" t="s">
        <v>319</v>
      </c>
      <c r="F7" t="s">
        <v>100</v>
      </c>
      <c r="G7" s="7" t="s">
        <v>320</v>
      </c>
      <c r="H7" s="8" t="s">
        <v>100</v>
      </c>
      <c r="I7" t="s">
        <v>101</v>
      </c>
      <c r="J7" t="s">
        <v>102</v>
      </c>
      <c r="K7">
        <v>0.52210000000000001</v>
      </c>
      <c r="L7">
        <v>0.56599999999999995</v>
      </c>
      <c r="M7">
        <v>0.2155</v>
      </c>
      <c r="N7">
        <v>0.4748</v>
      </c>
      <c r="O7">
        <v>0.83209999999999995</v>
      </c>
      <c r="Q7" t="s">
        <v>297</v>
      </c>
      <c r="R7">
        <v>0.83440000000000003</v>
      </c>
      <c r="S7">
        <f>K7-R7</f>
        <v>-0.31230000000000002</v>
      </c>
    </row>
    <row r="8" spans="1:19" hidden="1" x14ac:dyDescent="0.3">
      <c r="A8">
        <v>6</v>
      </c>
      <c r="B8">
        <v>855</v>
      </c>
      <c r="C8" t="s">
        <v>15</v>
      </c>
      <c r="D8" t="s">
        <v>16</v>
      </c>
      <c r="E8" t="s">
        <v>48</v>
      </c>
      <c r="F8" t="s">
        <v>49</v>
      </c>
      <c r="G8" t="s">
        <v>50</v>
      </c>
      <c r="H8" t="s">
        <v>51</v>
      </c>
      <c r="I8" t="s">
        <v>52</v>
      </c>
      <c r="J8" t="s">
        <v>53</v>
      </c>
      <c r="K8">
        <v>0.94279999999999997</v>
      </c>
      <c r="L8">
        <v>0.97560000000000002</v>
      </c>
      <c r="M8">
        <v>0.87090000000000001</v>
      </c>
      <c r="N8">
        <v>0.93410000000000004</v>
      </c>
      <c r="O8">
        <v>0.99060000000000004</v>
      </c>
      <c r="Q8" t="s">
        <v>53</v>
      </c>
      <c r="R8">
        <v>0.94279999999999997</v>
      </c>
      <c r="S8">
        <f>K8-R8</f>
        <v>0</v>
      </c>
    </row>
    <row r="9" spans="1:19" x14ac:dyDescent="0.3">
      <c r="A9">
        <v>20</v>
      </c>
      <c r="B9">
        <v>162</v>
      </c>
      <c r="C9" t="s">
        <v>15</v>
      </c>
      <c r="D9" t="s">
        <v>16</v>
      </c>
      <c r="E9" t="s">
        <v>120</v>
      </c>
      <c r="F9" t="s">
        <v>121</v>
      </c>
      <c r="G9" t="s">
        <v>122</v>
      </c>
      <c r="H9" s="8" t="s">
        <v>123</v>
      </c>
      <c r="I9" t="s">
        <v>124</v>
      </c>
      <c r="J9" t="s">
        <v>125</v>
      </c>
      <c r="K9">
        <v>0.5081</v>
      </c>
      <c r="L9">
        <v>0.42859999999999998</v>
      </c>
      <c r="M9">
        <v>0.17219999999999999</v>
      </c>
      <c r="N9">
        <v>0.66810000000000003</v>
      </c>
      <c r="O9">
        <v>0.76359999999999995</v>
      </c>
      <c r="Q9" t="s">
        <v>300</v>
      </c>
      <c r="R9">
        <v>0.69210000000000005</v>
      </c>
      <c r="S9">
        <f>K9-R9</f>
        <v>-0.18400000000000005</v>
      </c>
    </row>
    <row r="10" spans="1:19" x14ac:dyDescent="0.3">
      <c r="A10">
        <v>25</v>
      </c>
      <c r="B10">
        <v>740</v>
      </c>
      <c r="C10" t="s">
        <v>15</v>
      </c>
      <c r="D10" t="s">
        <v>16</v>
      </c>
      <c r="E10" t="s">
        <v>148</v>
      </c>
      <c r="F10" t="s">
        <v>149</v>
      </c>
      <c r="G10" t="s">
        <v>150</v>
      </c>
      <c r="H10" s="8" t="s">
        <v>151</v>
      </c>
      <c r="I10" t="s">
        <v>152</v>
      </c>
      <c r="J10" t="s">
        <v>153</v>
      </c>
      <c r="K10">
        <v>0.82099999999999995</v>
      </c>
      <c r="L10">
        <v>0.8911</v>
      </c>
      <c r="M10">
        <v>0.55300000000000005</v>
      </c>
      <c r="N10">
        <v>0.93559999999999999</v>
      </c>
      <c r="O10">
        <v>0.9042</v>
      </c>
      <c r="Q10" t="s">
        <v>152</v>
      </c>
      <c r="R10">
        <v>1</v>
      </c>
      <c r="S10">
        <f>K10-R10</f>
        <v>-0.17900000000000005</v>
      </c>
    </row>
    <row r="11" spans="1:19" x14ac:dyDescent="0.3">
      <c r="A11">
        <v>23</v>
      </c>
      <c r="B11">
        <v>402</v>
      </c>
      <c r="C11" t="s">
        <v>15</v>
      </c>
      <c r="D11" t="s">
        <v>16</v>
      </c>
      <c r="E11" t="s">
        <v>137</v>
      </c>
      <c r="F11" t="s">
        <v>138</v>
      </c>
      <c r="G11" t="s">
        <v>139</v>
      </c>
      <c r="H11" s="8" t="s">
        <v>140</v>
      </c>
      <c r="I11" t="s">
        <v>141</v>
      </c>
      <c r="J11" t="s">
        <v>142</v>
      </c>
      <c r="K11">
        <v>0.82479999999999998</v>
      </c>
      <c r="L11">
        <v>0.8276</v>
      </c>
      <c r="M11">
        <v>0.63829999999999998</v>
      </c>
      <c r="N11">
        <v>0.91359999999999997</v>
      </c>
      <c r="O11">
        <v>0.91959999999999997</v>
      </c>
      <c r="Q11" t="s">
        <v>141</v>
      </c>
      <c r="R11">
        <v>1</v>
      </c>
      <c r="S11">
        <f>K11-R11</f>
        <v>-0.17520000000000002</v>
      </c>
    </row>
    <row r="12" spans="1:19" hidden="1" x14ac:dyDescent="0.3">
      <c r="A12">
        <v>10</v>
      </c>
      <c r="B12">
        <v>685</v>
      </c>
      <c r="C12" t="s">
        <v>15</v>
      </c>
      <c r="D12" t="s">
        <v>16</v>
      </c>
      <c r="E12" t="s">
        <v>69</v>
      </c>
      <c r="F12" t="s">
        <v>70</v>
      </c>
      <c r="G12" t="s">
        <v>71</v>
      </c>
      <c r="H12" t="s">
        <v>70</v>
      </c>
      <c r="I12" t="s">
        <v>72</v>
      </c>
      <c r="J12" t="s">
        <v>73</v>
      </c>
      <c r="K12">
        <v>0.65090000000000003</v>
      </c>
      <c r="L12">
        <v>0.68659999999999999</v>
      </c>
      <c r="M12">
        <v>0.42299999999999999</v>
      </c>
      <c r="N12">
        <v>0.57589999999999997</v>
      </c>
      <c r="O12">
        <v>0.91810000000000003</v>
      </c>
      <c r="Q12" t="s">
        <v>73</v>
      </c>
      <c r="R12">
        <v>0.65090000000000003</v>
      </c>
      <c r="S12">
        <f>K12-R12</f>
        <v>0</v>
      </c>
    </row>
    <row r="13" spans="1:19" x14ac:dyDescent="0.3">
      <c r="A13">
        <v>11</v>
      </c>
      <c r="B13">
        <v>874</v>
      </c>
      <c r="C13" t="s">
        <v>15</v>
      </c>
      <c r="D13" t="s">
        <v>16</v>
      </c>
      <c r="E13" t="s">
        <v>74</v>
      </c>
      <c r="F13" t="s">
        <v>75</v>
      </c>
      <c r="G13" t="s">
        <v>76</v>
      </c>
      <c r="H13" s="8" t="s">
        <v>75</v>
      </c>
      <c r="I13" t="s">
        <v>77</v>
      </c>
      <c r="J13" t="s">
        <v>78</v>
      </c>
      <c r="K13">
        <v>0.36770000000000003</v>
      </c>
      <c r="L13">
        <v>0.42109999999999997</v>
      </c>
      <c r="M13">
        <v>7.0499999999999993E-2</v>
      </c>
      <c r="N13">
        <v>0.19889999999999999</v>
      </c>
      <c r="O13">
        <v>0.78029999999999999</v>
      </c>
      <c r="Q13" t="s">
        <v>294</v>
      </c>
      <c r="R13">
        <v>0.52900000000000003</v>
      </c>
      <c r="S13">
        <f>K13-R13</f>
        <v>-0.1613</v>
      </c>
    </row>
    <row r="14" spans="1:19" x14ac:dyDescent="0.3">
      <c r="A14">
        <v>45</v>
      </c>
      <c r="B14">
        <v>168</v>
      </c>
      <c r="C14" t="s">
        <v>15</v>
      </c>
      <c r="D14" t="s">
        <v>16</v>
      </c>
      <c r="E14" t="s">
        <v>260</v>
      </c>
      <c r="F14" t="s">
        <v>261</v>
      </c>
      <c r="G14" t="s">
        <v>262</v>
      </c>
      <c r="H14" s="8" t="s">
        <v>261</v>
      </c>
      <c r="I14" t="s">
        <v>263</v>
      </c>
      <c r="J14" t="s">
        <v>264</v>
      </c>
      <c r="K14">
        <v>0.77549999999999997</v>
      </c>
      <c r="L14">
        <v>0.77329999999999999</v>
      </c>
      <c r="M14">
        <v>0.65339999999999998</v>
      </c>
      <c r="N14">
        <v>0.78680000000000005</v>
      </c>
      <c r="O14">
        <v>0.88859999999999995</v>
      </c>
      <c r="Q14" t="s">
        <v>313</v>
      </c>
      <c r="R14">
        <v>0.88</v>
      </c>
      <c r="S14">
        <f>K14-R14</f>
        <v>-0.10450000000000004</v>
      </c>
    </row>
    <row r="15" spans="1:19" x14ac:dyDescent="0.3">
      <c r="A15">
        <v>24</v>
      </c>
      <c r="B15">
        <v>822</v>
      </c>
      <c r="C15" t="s">
        <v>15</v>
      </c>
      <c r="D15" t="s">
        <v>16</v>
      </c>
      <c r="E15" t="s">
        <v>143</v>
      </c>
      <c r="F15" t="s">
        <v>144</v>
      </c>
      <c r="G15" t="s">
        <v>145</v>
      </c>
      <c r="H15" s="8" t="s">
        <v>144</v>
      </c>
      <c r="I15" t="s">
        <v>146</v>
      </c>
      <c r="J15" t="s">
        <v>147</v>
      </c>
      <c r="K15">
        <v>0.6159</v>
      </c>
      <c r="L15">
        <v>0.52329999999999999</v>
      </c>
      <c r="M15">
        <v>0.28670000000000001</v>
      </c>
      <c r="N15">
        <v>0.84079999999999999</v>
      </c>
      <c r="O15">
        <v>0.81279999999999997</v>
      </c>
      <c r="Q15" t="s">
        <v>302</v>
      </c>
      <c r="R15">
        <v>0.71099999999999997</v>
      </c>
      <c r="S15">
        <f>K15-R15</f>
        <v>-9.5099999999999962E-2</v>
      </c>
    </row>
    <row r="16" spans="1:19" x14ac:dyDescent="0.3">
      <c r="A16">
        <v>39</v>
      </c>
      <c r="B16">
        <v>929</v>
      </c>
      <c r="C16" t="s">
        <v>15</v>
      </c>
      <c r="D16" t="s">
        <v>16</v>
      </c>
      <c r="E16" t="s">
        <v>228</v>
      </c>
      <c r="F16" t="s">
        <v>229</v>
      </c>
      <c r="G16" t="s">
        <v>230</v>
      </c>
      <c r="H16" s="8" t="s">
        <v>229</v>
      </c>
      <c r="I16" t="s">
        <v>231</v>
      </c>
      <c r="J16" t="s">
        <v>232</v>
      </c>
      <c r="K16">
        <v>0.41909999999999997</v>
      </c>
      <c r="L16">
        <v>0.46150000000000002</v>
      </c>
      <c r="M16">
        <v>0</v>
      </c>
      <c r="N16">
        <v>0.40870000000000001</v>
      </c>
      <c r="O16">
        <v>0.80630000000000002</v>
      </c>
      <c r="Q16" s="3" t="s">
        <v>309</v>
      </c>
      <c r="R16" s="3">
        <v>0.50670000000000004</v>
      </c>
      <c r="S16">
        <f>K16-R16</f>
        <v>-8.7600000000000067E-2</v>
      </c>
    </row>
    <row r="17" spans="1:19" hidden="1" x14ac:dyDescent="0.3">
      <c r="A17">
        <v>15</v>
      </c>
      <c r="B17">
        <v>217</v>
      </c>
      <c r="C17" t="s">
        <v>15</v>
      </c>
      <c r="D17" t="s">
        <v>16</v>
      </c>
      <c r="E17" t="s">
        <v>96</v>
      </c>
      <c r="F17" t="s">
        <v>97</v>
      </c>
      <c r="G17" t="s">
        <v>98</v>
      </c>
      <c r="H17" t="s">
        <v>97</v>
      </c>
      <c r="I17" t="s">
        <v>99</v>
      </c>
      <c r="J17" t="s">
        <v>99</v>
      </c>
      <c r="K17">
        <v>1</v>
      </c>
      <c r="L17">
        <v>1</v>
      </c>
      <c r="M17">
        <v>1</v>
      </c>
      <c r="N17">
        <v>0.99990000000000001</v>
      </c>
      <c r="O17">
        <v>1</v>
      </c>
      <c r="Q17" t="s">
        <v>99</v>
      </c>
      <c r="R17">
        <v>1</v>
      </c>
      <c r="S17">
        <f>K17-R17</f>
        <v>0</v>
      </c>
    </row>
    <row r="18" spans="1:19" x14ac:dyDescent="0.3">
      <c r="A18">
        <v>40</v>
      </c>
      <c r="B18">
        <v>389</v>
      </c>
      <c r="C18" t="s">
        <v>15</v>
      </c>
      <c r="D18" t="s">
        <v>16</v>
      </c>
      <c r="E18" t="s">
        <v>233</v>
      </c>
      <c r="F18" t="s">
        <v>234</v>
      </c>
      <c r="G18" t="s">
        <v>235</v>
      </c>
      <c r="H18" s="8" t="s">
        <v>236</v>
      </c>
      <c r="I18" t="s">
        <v>237</v>
      </c>
      <c r="J18" t="s">
        <v>238</v>
      </c>
      <c r="K18">
        <v>0.66379999999999995</v>
      </c>
      <c r="L18">
        <v>0.72340000000000004</v>
      </c>
      <c r="M18">
        <v>0.434</v>
      </c>
      <c r="N18">
        <v>0.62539999999999996</v>
      </c>
      <c r="O18">
        <v>0.87239999999999995</v>
      </c>
      <c r="Q18" t="s">
        <v>310</v>
      </c>
      <c r="R18">
        <v>0.72760000000000002</v>
      </c>
      <c r="S18">
        <f>K18-R18</f>
        <v>-6.3800000000000079E-2</v>
      </c>
    </row>
    <row r="19" spans="1:19" hidden="1" x14ac:dyDescent="0.3">
      <c r="A19">
        <v>17</v>
      </c>
      <c r="B19">
        <v>36</v>
      </c>
      <c r="C19" t="s">
        <v>15</v>
      </c>
      <c r="D19" t="s">
        <v>16</v>
      </c>
      <c r="E19" t="s">
        <v>103</v>
      </c>
      <c r="F19" t="s">
        <v>104</v>
      </c>
      <c r="G19" t="s">
        <v>105</v>
      </c>
      <c r="H19" t="s">
        <v>104</v>
      </c>
      <c r="I19" t="s">
        <v>106</v>
      </c>
      <c r="J19" t="s">
        <v>107</v>
      </c>
      <c r="K19">
        <v>0.76729999999999998</v>
      </c>
      <c r="L19">
        <v>0.77880000000000005</v>
      </c>
      <c r="M19">
        <v>0.53290000000000004</v>
      </c>
      <c r="N19">
        <v>0.83560000000000001</v>
      </c>
      <c r="O19">
        <v>0.92200000000000004</v>
      </c>
      <c r="Q19" t="s">
        <v>107</v>
      </c>
      <c r="R19">
        <v>0.76729999999999998</v>
      </c>
      <c r="S19">
        <f>K19-R19</f>
        <v>0</v>
      </c>
    </row>
    <row r="20" spans="1:19" x14ac:dyDescent="0.3">
      <c r="A20">
        <v>31</v>
      </c>
      <c r="B20">
        <v>514</v>
      </c>
      <c r="C20" t="s">
        <v>15</v>
      </c>
      <c r="D20" t="s">
        <v>16</v>
      </c>
      <c r="E20" t="s">
        <v>183</v>
      </c>
      <c r="F20" t="s">
        <v>184</v>
      </c>
      <c r="G20" t="s">
        <v>185</v>
      </c>
      <c r="H20" s="8" t="s">
        <v>186</v>
      </c>
      <c r="I20" t="s">
        <v>187</v>
      </c>
      <c r="J20" t="s">
        <v>188</v>
      </c>
      <c r="K20">
        <v>0.9395</v>
      </c>
      <c r="L20">
        <v>0.93330000000000002</v>
      </c>
      <c r="M20">
        <v>0.87870000000000004</v>
      </c>
      <c r="N20">
        <v>0.95620000000000005</v>
      </c>
      <c r="O20">
        <v>0.98970000000000002</v>
      </c>
      <c r="Q20" t="s">
        <v>187</v>
      </c>
      <c r="R20">
        <v>1</v>
      </c>
      <c r="S20">
        <f>K20-R20</f>
        <v>-6.0499999999999998E-2</v>
      </c>
    </row>
    <row r="21" spans="1:19" x14ac:dyDescent="0.3">
      <c r="A21">
        <v>14</v>
      </c>
      <c r="B21">
        <v>620</v>
      </c>
      <c r="C21" t="s">
        <v>15</v>
      </c>
      <c r="D21" t="s">
        <v>16</v>
      </c>
      <c r="E21" t="s">
        <v>90</v>
      </c>
      <c r="F21" t="s">
        <v>91</v>
      </c>
      <c r="G21" t="s">
        <v>92</v>
      </c>
      <c r="H21" s="8" t="s">
        <v>93</v>
      </c>
      <c r="I21" t="s">
        <v>94</v>
      </c>
      <c r="J21" t="s">
        <v>95</v>
      </c>
      <c r="K21">
        <v>0.90559999999999996</v>
      </c>
      <c r="L21">
        <v>0.9365</v>
      </c>
      <c r="M21">
        <v>0.81269999999999998</v>
      </c>
      <c r="N21">
        <v>0.91420000000000001</v>
      </c>
      <c r="O21">
        <v>0.95889999999999997</v>
      </c>
      <c r="Q21" t="s">
        <v>296</v>
      </c>
      <c r="R21">
        <v>0.9395</v>
      </c>
      <c r="S21">
        <f>K21-R21</f>
        <v>-3.3900000000000041E-2</v>
      </c>
    </row>
    <row r="22" spans="1:19" x14ac:dyDescent="0.3">
      <c r="A22">
        <v>34</v>
      </c>
      <c r="B22">
        <v>891</v>
      </c>
      <c r="C22" t="s">
        <v>15</v>
      </c>
      <c r="D22" t="s">
        <v>16</v>
      </c>
      <c r="E22" t="s">
        <v>199</v>
      </c>
      <c r="F22" t="s">
        <v>200</v>
      </c>
      <c r="G22" t="s">
        <v>201</v>
      </c>
      <c r="H22" s="8" t="s">
        <v>202</v>
      </c>
      <c r="I22" t="s">
        <v>203</v>
      </c>
      <c r="J22" t="s">
        <v>204</v>
      </c>
      <c r="K22">
        <v>0.35799999999999998</v>
      </c>
      <c r="L22">
        <v>0.42720000000000002</v>
      </c>
      <c r="M22">
        <v>8.1299999999999997E-2</v>
      </c>
      <c r="N22">
        <v>0.18149999999999999</v>
      </c>
      <c r="O22">
        <v>0.74180000000000001</v>
      </c>
      <c r="Q22" t="s">
        <v>307</v>
      </c>
      <c r="R22">
        <v>0.38990000000000002</v>
      </c>
      <c r="S22">
        <f>K22-R22</f>
        <v>-3.1900000000000039E-2</v>
      </c>
    </row>
    <row r="23" spans="1:19" hidden="1" x14ac:dyDescent="0.3">
      <c r="A23">
        <v>21</v>
      </c>
      <c r="B23">
        <v>441</v>
      </c>
      <c r="C23" t="s">
        <v>15</v>
      </c>
      <c r="D23" t="s">
        <v>16</v>
      </c>
      <c r="E23" t="s">
        <v>126</v>
      </c>
      <c r="F23" t="s">
        <v>127</v>
      </c>
      <c r="G23" t="s">
        <v>128</v>
      </c>
      <c r="H23" t="s">
        <v>129</v>
      </c>
      <c r="I23" t="s">
        <v>130</v>
      </c>
      <c r="J23" t="s">
        <v>131</v>
      </c>
      <c r="K23">
        <v>0.50129999999999997</v>
      </c>
      <c r="L23">
        <v>0.375</v>
      </c>
      <c r="M23">
        <v>0</v>
      </c>
      <c r="N23">
        <v>0.81789999999999996</v>
      </c>
      <c r="O23">
        <v>0.81230000000000002</v>
      </c>
      <c r="Q23" t="s">
        <v>131</v>
      </c>
      <c r="R23">
        <v>0.50129999999999997</v>
      </c>
      <c r="S23">
        <f>K23-R23</f>
        <v>0</v>
      </c>
    </row>
    <row r="24" spans="1:19" x14ac:dyDescent="0.3">
      <c r="A24">
        <v>12</v>
      </c>
      <c r="B24">
        <v>315</v>
      </c>
      <c r="C24" t="s">
        <v>15</v>
      </c>
      <c r="D24" t="s">
        <v>16</v>
      </c>
      <c r="E24" t="s">
        <v>79</v>
      </c>
      <c r="F24" t="s">
        <v>80</v>
      </c>
      <c r="G24" t="s">
        <v>81</v>
      </c>
      <c r="H24" s="8" t="s">
        <v>82</v>
      </c>
      <c r="I24" t="s">
        <v>83</v>
      </c>
      <c r="J24" t="s">
        <v>84</v>
      </c>
      <c r="K24">
        <v>0.97250000000000003</v>
      </c>
      <c r="L24">
        <v>0.98360000000000003</v>
      </c>
      <c r="M24">
        <v>0.92030000000000001</v>
      </c>
      <c r="N24">
        <v>0.99509999999999998</v>
      </c>
      <c r="O24">
        <v>0.99099999999999999</v>
      </c>
      <c r="Q24" t="s">
        <v>83</v>
      </c>
      <c r="R24">
        <v>1</v>
      </c>
      <c r="S24">
        <f>K24-R24</f>
        <v>-2.7499999999999969E-2</v>
      </c>
    </row>
    <row r="25" spans="1:19" x14ac:dyDescent="0.3">
      <c r="A25">
        <v>3</v>
      </c>
      <c r="B25">
        <v>93</v>
      </c>
      <c r="C25" t="s">
        <v>15</v>
      </c>
      <c r="D25" t="s">
        <v>16</v>
      </c>
      <c r="E25" t="s">
        <v>32</v>
      </c>
      <c r="F25" t="s">
        <v>33</v>
      </c>
      <c r="G25" t="s">
        <v>34</v>
      </c>
      <c r="H25" s="8" t="s">
        <v>33</v>
      </c>
      <c r="I25" t="s">
        <v>35</v>
      </c>
      <c r="J25" t="s">
        <v>36</v>
      </c>
      <c r="K25">
        <v>0.89800000000000002</v>
      </c>
      <c r="L25">
        <v>0.91259999999999997</v>
      </c>
      <c r="M25">
        <v>0.78110000000000002</v>
      </c>
      <c r="N25">
        <v>0.93569999999999998</v>
      </c>
      <c r="O25">
        <v>0.96250000000000002</v>
      </c>
      <c r="Q25" t="s">
        <v>288</v>
      </c>
      <c r="R25">
        <v>0.92369999999999997</v>
      </c>
      <c r="S25">
        <f>K25-R25</f>
        <v>-2.5699999999999945E-2</v>
      </c>
    </row>
    <row r="26" spans="1:19" x14ac:dyDescent="0.3">
      <c r="A26">
        <v>13</v>
      </c>
      <c r="B26">
        <v>257</v>
      </c>
      <c r="C26" t="s">
        <v>15</v>
      </c>
      <c r="D26" t="s">
        <v>16</v>
      </c>
      <c r="E26" t="s">
        <v>85</v>
      </c>
      <c r="F26" t="s">
        <v>86</v>
      </c>
      <c r="G26" t="s">
        <v>87</v>
      </c>
      <c r="H26" s="8" t="s">
        <v>86</v>
      </c>
      <c r="I26" t="s">
        <v>88</v>
      </c>
      <c r="J26" t="s">
        <v>89</v>
      </c>
      <c r="K26">
        <v>0.89639999999999997</v>
      </c>
      <c r="L26">
        <v>0.93149999999999999</v>
      </c>
      <c r="M26">
        <v>0.76090000000000002</v>
      </c>
      <c r="N26">
        <v>0.94789999999999996</v>
      </c>
      <c r="O26">
        <v>0.94520000000000004</v>
      </c>
      <c r="Q26" t="s">
        <v>295</v>
      </c>
      <c r="R26">
        <v>0.91369999999999996</v>
      </c>
      <c r="S26">
        <f>K26-R26</f>
        <v>-1.7299999999999982E-2</v>
      </c>
    </row>
    <row r="27" spans="1:19" x14ac:dyDescent="0.3">
      <c r="A27">
        <v>48</v>
      </c>
      <c r="B27">
        <v>241</v>
      </c>
      <c r="C27" t="s">
        <v>15</v>
      </c>
      <c r="D27" t="s">
        <v>16</v>
      </c>
      <c r="E27" t="s">
        <v>274</v>
      </c>
      <c r="F27" t="s">
        <v>275</v>
      </c>
      <c r="G27" t="s">
        <v>276</v>
      </c>
      <c r="H27" s="8" t="s">
        <v>277</v>
      </c>
      <c r="I27" t="s">
        <v>278</v>
      </c>
      <c r="J27" t="s">
        <v>279</v>
      </c>
      <c r="K27">
        <v>0.59160000000000001</v>
      </c>
      <c r="L27">
        <v>0.44740000000000002</v>
      </c>
      <c r="M27">
        <v>0.2863</v>
      </c>
      <c r="N27">
        <v>0.83320000000000005</v>
      </c>
      <c r="O27">
        <v>0.79930000000000001</v>
      </c>
      <c r="Q27" s="3" t="s">
        <v>314</v>
      </c>
      <c r="R27" s="3">
        <v>0.60829999999999995</v>
      </c>
      <c r="S27">
        <f>K27-R27</f>
        <v>-1.6699999999999937E-2</v>
      </c>
    </row>
    <row r="28" spans="1:19" hidden="1" x14ac:dyDescent="0.3">
      <c r="A28">
        <v>26</v>
      </c>
      <c r="B28">
        <v>880</v>
      </c>
      <c r="C28" t="s">
        <v>15</v>
      </c>
      <c r="D28" t="s">
        <v>16</v>
      </c>
      <c r="E28" t="s">
        <v>154</v>
      </c>
      <c r="F28" t="s">
        <v>155</v>
      </c>
      <c r="G28" t="s">
        <v>156</v>
      </c>
      <c r="H28" t="s">
        <v>157</v>
      </c>
      <c r="I28" t="s">
        <v>158</v>
      </c>
      <c r="J28" t="s">
        <v>159</v>
      </c>
      <c r="K28">
        <v>0.22869999999999999</v>
      </c>
      <c r="L28">
        <v>0.1978</v>
      </c>
      <c r="M28">
        <v>0</v>
      </c>
      <c r="N28">
        <v>4.2900000000000001E-2</v>
      </c>
      <c r="O28">
        <v>0.67420000000000002</v>
      </c>
      <c r="Q28" t="s">
        <v>159</v>
      </c>
      <c r="R28">
        <v>0.22869999999999999</v>
      </c>
      <c r="S28">
        <f>K28-R28</f>
        <v>0</v>
      </c>
    </row>
    <row r="29" spans="1:19" x14ac:dyDescent="0.3">
      <c r="A29">
        <v>19</v>
      </c>
      <c r="B29">
        <v>697</v>
      </c>
      <c r="C29" t="s">
        <v>15</v>
      </c>
      <c r="D29" t="s">
        <v>16</v>
      </c>
      <c r="E29" t="s">
        <v>114</v>
      </c>
      <c r="F29" t="s">
        <v>115</v>
      </c>
      <c r="G29" t="s">
        <v>116</v>
      </c>
      <c r="H29" s="8" t="s">
        <v>117</v>
      </c>
      <c r="I29" t="s">
        <v>118</v>
      </c>
      <c r="J29" t="s">
        <v>119</v>
      </c>
      <c r="K29">
        <v>0.50560000000000005</v>
      </c>
      <c r="L29">
        <v>0.39510000000000001</v>
      </c>
      <c r="M29">
        <v>0.2369</v>
      </c>
      <c r="N29">
        <v>0.52180000000000004</v>
      </c>
      <c r="O29">
        <v>0.86860000000000004</v>
      </c>
      <c r="Q29" t="s">
        <v>299</v>
      </c>
      <c r="R29">
        <v>0.52100000000000002</v>
      </c>
      <c r="S29">
        <f>K29-R29</f>
        <v>-1.5399999999999969E-2</v>
      </c>
    </row>
    <row r="30" spans="1:19" hidden="1" x14ac:dyDescent="0.3">
      <c r="A30">
        <v>28</v>
      </c>
      <c r="B30">
        <v>380</v>
      </c>
      <c r="C30" t="s">
        <v>15</v>
      </c>
      <c r="D30" t="s">
        <v>16</v>
      </c>
      <c r="E30" t="s">
        <v>166</v>
      </c>
      <c r="F30" t="s">
        <v>167</v>
      </c>
      <c r="G30" t="s">
        <v>168</v>
      </c>
      <c r="H30" t="s">
        <v>169</v>
      </c>
      <c r="I30" t="s">
        <v>170</v>
      </c>
      <c r="J30" t="s">
        <v>171</v>
      </c>
      <c r="K30">
        <v>0.84950000000000003</v>
      </c>
      <c r="L30">
        <v>0.90139999999999998</v>
      </c>
      <c r="M30">
        <v>0.6825</v>
      </c>
      <c r="N30">
        <v>0.85160000000000002</v>
      </c>
      <c r="O30">
        <v>0.96240000000000003</v>
      </c>
      <c r="Q30" t="s">
        <v>171</v>
      </c>
      <c r="R30">
        <v>0.84950000000000003</v>
      </c>
      <c r="S30">
        <f>K30-R30</f>
        <v>0</v>
      </c>
    </row>
    <row r="31" spans="1:19" x14ac:dyDescent="0.3">
      <c r="A31">
        <v>27</v>
      </c>
      <c r="B31">
        <v>521</v>
      </c>
      <c r="C31" t="s">
        <v>15</v>
      </c>
      <c r="D31" t="s">
        <v>16</v>
      </c>
      <c r="E31" t="s">
        <v>160</v>
      </c>
      <c r="F31" t="s">
        <v>161</v>
      </c>
      <c r="G31" t="s">
        <v>162</v>
      </c>
      <c r="H31" s="8" t="s">
        <v>163</v>
      </c>
      <c r="I31" t="s">
        <v>164</v>
      </c>
      <c r="J31" t="s">
        <v>165</v>
      </c>
      <c r="K31">
        <v>0.7248</v>
      </c>
      <c r="L31">
        <v>0.7077</v>
      </c>
      <c r="M31">
        <v>0.50619999999999998</v>
      </c>
      <c r="N31">
        <v>0.78849999999999998</v>
      </c>
      <c r="O31">
        <v>0.89670000000000005</v>
      </c>
      <c r="Q31" t="s">
        <v>303</v>
      </c>
      <c r="R31">
        <v>0.73860000000000003</v>
      </c>
      <c r="S31">
        <f>K31-R31</f>
        <v>-1.3800000000000034E-2</v>
      </c>
    </row>
    <row r="32" spans="1:19" x14ac:dyDescent="0.3">
      <c r="A32">
        <v>8</v>
      </c>
      <c r="B32">
        <v>753</v>
      </c>
      <c r="C32" t="s">
        <v>15</v>
      </c>
      <c r="D32" t="s">
        <v>16</v>
      </c>
      <c r="E32" t="s">
        <v>59</v>
      </c>
      <c r="F32" t="s">
        <v>60</v>
      </c>
      <c r="G32" t="s">
        <v>61</v>
      </c>
      <c r="H32" s="8" t="s">
        <v>60</v>
      </c>
      <c r="I32" t="s">
        <v>62</v>
      </c>
      <c r="J32" t="s">
        <v>63</v>
      </c>
      <c r="K32">
        <v>0.43330000000000002</v>
      </c>
      <c r="L32">
        <v>0.66669999999999996</v>
      </c>
      <c r="M32">
        <v>0</v>
      </c>
      <c r="N32">
        <v>0.12709999999999999</v>
      </c>
      <c r="O32">
        <v>0.9395</v>
      </c>
      <c r="Q32" t="s">
        <v>292</v>
      </c>
      <c r="R32">
        <v>0.43340000000000001</v>
      </c>
      <c r="S32">
        <f>K32-R32</f>
        <v>-9.9999999999988987E-5</v>
      </c>
    </row>
    <row r="33" spans="1:19" x14ac:dyDescent="0.3">
      <c r="A33">
        <v>7</v>
      </c>
      <c r="B33">
        <v>173</v>
      </c>
      <c r="C33" t="s">
        <v>15</v>
      </c>
      <c r="D33" t="s">
        <v>16</v>
      </c>
      <c r="E33" t="s">
        <v>54</v>
      </c>
      <c r="F33" t="s">
        <v>55</v>
      </c>
      <c r="G33" t="s">
        <v>56</v>
      </c>
      <c r="H33" s="8" t="s">
        <v>55</v>
      </c>
      <c r="I33" t="s">
        <v>57</v>
      </c>
      <c r="J33" t="s">
        <v>58</v>
      </c>
      <c r="K33">
        <v>0.58050000000000002</v>
      </c>
      <c r="L33">
        <v>0.5867</v>
      </c>
      <c r="M33">
        <v>0.3644</v>
      </c>
      <c r="N33">
        <v>0.52939999999999998</v>
      </c>
      <c r="O33">
        <v>0.84140000000000004</v>
      </c>
      <c r="Q33" t="s">
        <v>291</v>
      </c>
      <c r="R33">
        <v>0.57299999999999995</v>
      </c>
      <c r="S33">
        <f>K33-R33</f>
        <v>7.5000000000000622E-3</v>
      </c>
    </row>
    <row r="34" spans="1:19" hidden="1" x14ac:dyDescent="0.3">
      <c r="A34">
        <v>32</v>
      </c>
      <c r="B34">
        <v>274</v>
      </c>
      <c r="C34" t="s">
        <v>15</v>
      </c>
      <c r="D34" t="s">
        <v>16</v>
      </c>
      <c r="E34" t="s">
        <v>189</v>
      </c>
      <c r="F34" t="s">
        <v>190</v>
      </c>
      <c r="G34" t="s">
        <v>191</v>
      </c>
      <c r="H34" t="s">
        <v>192</v>
      </c>
      <c r="I34" t="s">
        <v>193</v>
      </c>
      <c r="J34" t="s">
        <v>194</v>
      </c>
      <c r="K34">
        <v>0.87560000000000004</v>
      </c>
      <c r="L34">
        <v>0.93330000000000002</v>
      </c>
      <c r="M34">
        <v>0.75339999999999996</v>
      </c>
      <c r="N34">
        <v>0.85680000000000001</v>
      </c>
      <c r="O34">
        <v>0.95909999999999995</v>
      </c>
      <c r="Q34" t="s">
        <v>194</v>
      </c>
      <c r="R34">
        <v>0.87560000000000004</v>
      </c>
      <c r="S34">
        <f>K34-R34</f>
        <v>0</v>
      </c>
    </row>
    <row r="35" spans="1:19" x14ac:dyDescent="0.3">
      <c r="A35">
        <v>18</v>
      </c>
      <c r="B35">
        <v>595</v>
      </c>
      <c r="C35" t="s">
        <v>15</v>
      </c>
      <c r="D35" t="s">
        <v>16</v>
      </c>
      <c r="E35" t="s">
        <v>108</v>
      </c>
      <c r="F35" t="s">
        <v>109</v>
      </c>
      <c r="G35" t="s">
        <v>110</v>
      </c>
      <c r="H35" s="8" t="s">
        <v>111</v>
      </c>
      <c r="I35" t="s">
        <v>112</v>
      </c>
      <c r="J35" t="s">
        <v>113</v>
      </c>
      <c r="K35">
        <v>0.71360000000000001</v>
      </c>
      <c r="L35">
        <v>0.73170000000000002</v>
      </c>
      <c r="M35">
        <v>0.57140000000000002</v>
      </c>
      <c r="N35">
        <v>0.68330000000000002</v>
      </c>
      <c r="O35">
        <v>0.86780000000000002</v>
      </c>
      <c r="Q35" t="s">
        <v>298</v>
      </c>
      <c r="R35">
        <v>0.70430000000000004</v>
      </c>
      <c r="S35">
        <f>K35-R35</f>
        <v>9.299999999999975E-3</v>
      </c>
    </row>
    <row r="36" spans="1:19" x14ac:dyDescent="0.3">
      <c r="A36">
        <v>36</v>
      </c>
      <c r="B36">
        <v>372</v>
      </c>
      <c r="C36" t="s">
        <v>15</v>
      </c>
      <c r="D36" t="s">
        <v>16</v>
      </c>
      <c r="E36" t="s">
        <v>210</v>
      </c>
      <c r="F36" t="s">
        <v>211</v>
      </c>
      <c r="G36" t="s">
        <v>212</v>
      </c>
      <c r="H36" s="8" t="s">
        <v>213</v>
      </c>
      <c r="I36" t="s">
        <v>214</v>
      </c>
      <c r="J36" t="s">
        <v>215</v>
      </c>
      <c r="K36">
        <v>0.46560000000000001</v>
      </c>
      <c r="L36">
        <v>0.30509999999999998</v>
      </c>
      <c r="M36">
        <v>0.13189999999999999</v>
      </c>
      <c r="N36">
        <v>0.66090000000000004</v>
      </c>
      <c r="O36">
        <v>0.76459999999999995</v>
      </c>
      <c r="Q36" t="s">
        <v>308</v>
      </c>
      <c r="R36">
        <v>0.45219999999999999</v>
      </c>
      <c r="S36">
        <f>K36-R36</f>
        <v>1.3400000000000023E-2</v>
      </c>
    </row>
    <row r="37" spans="1:19" hidden="1" x14ac:dyDescent="0.3">
      <c r="A37">
        <v>35</v>
      </c>
      <c r="B37">
        <v>28</v>
      </c>
      <c r="C37" t="s">
        <v>15</v>
      </c>
      <c r="D37" t="s">
        <v>16</v>
      </c>
      <c r="E37" t="s">
        <v>205</v>
      </c>
      <c r="F37" t="s">
        <v>206</v>
      </c>
      <c r="G37" t="s">
        <v>207</v>
      </c>
      <c r="H37" t="s">
        <v>206</v>
      </c>
      <c r="I37" t="s">
        <v>208</v>
      </c>
      <c r="J37" t="s">
        <v>209</v>
      </c>
      <c r="K37">
        <v>0.7984</v>
      </c>
      <c r="L37">
        <v>0.79520000000000002</v>
      </c>
      <c r="M37">
        <v>0.5948</v>
      </c>
      <c r="N37">
        <v>0.91220000000000001</v>
      </c>
      <c r="O37">
        <v>0.89119999999999999</v>
      </c>
      <c r="Q37" t="s">
        <v>209</v>
      </c>
      <c r="R37">
        <v>0.7984</v>
      </c>
      <c r="S37">
        <f>K37-R37</f>
        <v>0</v>
      </c>
    </row>
    <row r="38" spans="1:19" x14ac:dyDescent="0.3">
      <c r="A38">
        <v>4</v>
      </c>
      <c r="B38">
        <v>86</v>
      </c>
      <c r="C38" t="s">
        <v>15</v>
      </c>
      <c r="D38" t="s">
        <v>16</v>
      </c>
      <c r="E38" t="s">
        <v>37</v>
      </c>
      <c r="F38" t="s">
        <v>38</v>
      </c>
      <c r="G38" t="s">
        <v>39</v>
      </c>
      <c r="H38" s="8" t="s">
        <v>38</v>
      </c>
      <c r="I38" t="s">
        <v>40</v>
      </c>
      <c r="J38" t="s">
        <v>41</v>
      </c>
      <c r="K38">
        <v>0.3407</v>
      </c>
      <c r="L38">
        <v>0.3478</v>
      </c>
      <c r="M38">
        <v>3.5099999999999999E-2</v>
      </c>
      <c r="N38">
        <v>0.2586</v>
      </c>
      <c r="O38">
        <v>0.72140000000000004</v>
      </c>
      <c r="Q38" t="s">
        <v>289</v>
      </c>
      <c r="R38">
        <v>0.31879999999999997</v>
      </c>
      <c r="S38">
        <f>K38-R38</f>
        <v>2.1900000000000031E-2</v>
      </c>
    </row>
    <row r="39" spans="1:19" hidden="1" x14ac:dyDescent="0.3">
      <c r="A39">
        <v>37</v>
      </c>
      <c r="B39">
        <v>476</v>
      </c>
      <c r="C39" t="s">
        <v>15</v>
      </c>
      <c r="D39" t="s">
        <v>16</v>
      </c>
      <c r="E39" t="s">
        <v>216</v>
      </c>
      <c r="F39" t="s">
        <v>217</v>
      </c>
      <c r="G39" t="s">
        <v>218</v>
      </c>
      <c r="H39" t="s">
        <v>219</v>
      </c>
      <c r="I39" t="s">
        <v>220</v>
      </c>
      <c r="J39" t="s">
        <v>221</v>
      </c>
      <c r="K39">
        <v>0.75580000000000003</v>
      </c>
      <c r="L39">
        <v>0.75</v>
      </c>
      <c r="M39">
        <v>0.4849</v>
      </c>
      <c r="N39">
        <v>0.9</v>
      </c>
      <c r="O39">
        <v>0.88839999999999997</v>
      </c>
      <c r="Q39" t="s">
        <v>221</v>
      </c>
      <c r="R39">
        <v>0.75580000000000003</v>
      </c>
      <c r="S39">
        <f>K39-R39</f>
        <v>0</v>
      </c>
    </row>
    <row r="40" spans="1:19" hidden="1" x14ac:dyDescent="0.3">
      <c r="A40">
        <v>38</v>
      </c>
      <c r="B40">
        <v>326</v>
      </c>
      <c r="C40" t="s">
        <v>15</v>
      </c>
      <c r="D40" t="s">
        <v>16</v>
      </c>
      <c r="E40" t="s">
        <v>222</v>
      </c>
      <c r="F40" t="s">
        <v>223</v>
      </c>
      <c r="G40" t="s">
        <v>224</v>
      </c>
      <c r="H40" t="s">
        <v>225</v>
      </c>
      <c r="I40" t="s">
        <v>226</v>
      </c>
      <c r="J40" t="s">
        <v>227</v>
      </c>
      <c r="K40">
        <v>0.23769999999999999</v>
      </c>
      <c r="L40">
        <v>0.15379999999999999</v>
      </c>
      <c r="M40">
        <v>0</v>
      </c>
      <c r="N40">
        <v>7.46E-2</v>
      </c>
      <c r="O40">
        <v>0.72240000000000004</v>
      </c>
      <c r="Q40" t="s">
        <v>227</v>
      </c>
      <c r="R40">
        <v>0.23769999999999999</v>
      </c>
      <c r="S40">
        <f>K40-R40</f>
        <v>0</v>
      </c>
    </row>
    <row r="41" spans="1:19" x14ac:dyDescent="0.3">
      <c r="A41">
        <v>1</v>
      </c>
      <c r="B41">
        <v>869</v>
      </c>
      <c r="C41" t="s">
        <v>15</v>
      </c>
      <c r="D41" t="s">
        <v>16</v>
      </c>
      <c r="E41" t="s">
        <v>22</v>
      </c>
      <c r="F41" t="s">
        <v>23</v>
      </c>
      <c r="G41" t="s">
        <v>24</v>
      </c>
      <c r="H41" s="8" t="s">
        <v>23</v>
      </c>
      <c r="I41" t="s">
        <v>25</v>
      </c>
      <c r="J41" t="s">
        <v>26</v>
      </c>
      <c r="K41">
        <v>0.68989999999999996</v>
      </c>
      <c r="L41">
        <v>0.72970000000000002</v>
      </c>
      <c r="M41">
        <v>0.47420000000000001</v>
      </c>
      <c r="N41">
        <v>0.63600000000000001</v>
      </c>
      <c r="O41">
        <v>0.91959999999999997</v>
      </c>
      <c r="Q41" t="s">
        <v>287</v>
      </c>
      <c r="R41">
        <v>0.65280000000000005</v>
      </c>
      <c r="S41">
        <f>K41-R41</f>
        <v>3.7099999999999911E-2</v>
      </c>
    </row>
    <row r="42" spans="1:19" x14ac:dyDescent="0.3">
      <c r="A42">
        <v>9</v>
      </c>
      <c r="B42">
        <v>828</v>
      </c>
      <c r="C42" t="s">
        <v>15</v>
      </c>
      <c r="D42" t="s">
        <v>16</v>
      </c>
      <c r="E42" t="s">
        <v>64</v>
      </c>
      <c r="F42" t="s">
        <v>65</v>
      </c>
      <c r="G42" t="s">
        <v>66</v>
      </c>
      <c r="H42" s="8" t="s">
        <v>65</v>
      </c>
      <c r="I42" t="s">
        <v>67</v>
      </c>
      <c r="J42" t="s">
        <v>68</v>
      </c>
      <c r="K42">
        <v>0.77839999999999998</v>
      </c>
      <c r="L42">
        <v>0.71960000000000002</v>
      </c>
      <c r="M42">
        <v>0.63890000000000002</v>
      </c>
      <c r="N42">
        <v>0.84509999999999996</v>
      </c>
      <c r="O42">
        <v>0.91</v>
      </c>
      <c r="Q42" t="s">
        <v>293</v>
      </c>
      <c r="R42">
        <v>0.72629999999999995</v>
      </c>
      <c r="S42">
        <f>K42-R42</f>
        <v>5.2100000000000035E-2</v>
      </c>
    </row>
    <row r="43" spans="1:19" hidden="1" x14ac:dyDescent="0.3">
      <c r="A43">
        <v>41</v>
      </c>
      <c r="B43">
        <v>433</v>
      </c>
      <c r="C43" t="s">
        <v>15</v>
      </c>
      <c r="D43" t="s">
        <v>16</v>
      </c>
      <c r="E43" t="s">
        <v>239</v>
      </c>
      <c r="F43" t="s">
        <v>240</v>
      </c>
      <c r="G43" t="s">
        <v>241</v>
      </c>
      <c r="H43" t="s">
        <v>240</v>
      </c>
      <c r="I43" t="s">
        <v>242</v>
      </c>
      <c r="J43" t="s">
        <v>242</v>
      </c>
      <c r="K43">
        <v>1</v>
      </c>
      <c r="L43">
        <v>1</v>
      </c>
      <c r="M43">
        <v>1</v>
      </c>
      <c r="N43">
        <v>0.99990000000000001</v>
      </c>
      <c r="O43">
        <v>1</v>
      </c>
      <c r="Q43" t="s">
        <v>242</v>
      </c>
      <c r="R43">
        <v>1</v>
      </c>
      <c r="S43">
        <f>K43-R43</f>
        <v>0</v>
      </c>
    </row>
    <row r="44" spans="1:19" hidden="1" x14ac:dyDescent="0.3">
      <c r="A44">
        <v>42</v>
      </c>
      <c r="B44">
        <v>913</v>
      </c>
      <c r="C44" t="s">
        <v>15</v>
      </c>
      <c r="D44" t="s">
        <v>16</v>
      </c>
      <c r="E44" t="s">
        <v>243</v>
      </c>
      <c r="F44" t="s">
        <v>244</v>
      </c>
      <c r="G44" t="s">
        <v>245</v>
      </c>
      <c r="H44" t="s">
        <v>244</v>
      </c>
      <c r="I44" t="s">
        <v>246</v>
      </c>
      <c r="J44" t="s">
        <v>247</v>
      </c>
      <c r="K44">
        <v>0.77500000000000002</v>
      </c>
      <c r="L44">
        <v>0.85709999999999997</v>
      </c>
      <c r="M44">
        <v>0.49890000000000001</v>
      </c>
      <c r="N44">
        <v>0.77829999999999999</v>
      </c>
      <c r="O44">
        <v>0.96560000000000001</v>
      </c>
      <c r="Q44" t="s">
        <v>247</v>
      </c>
      <c r="R44">
        <v>0.77500000000000002</v>
      </c>
      <c r="S44">
        <f>K44-R44</f>
        <v>0</v>
      </c>
    </row>
    <row r="45" spans="1:19" x14ac:dyDescent="0.3">
      <c r="A45">
        <v>5</v>
      </c>
      <c r="B45">
        <v>369</v>
      </c>
      <c r="C45" t="s">
        <v>15</v>
      </c>
      <c r="D45" t="s">
        <v>16</v>
      </c>
      <c r="E45" t="s">
        <v>42</v>
      </c>
      <c r="F45" t="s">
        <v>43</v>
      </c>
      <c r="G45" t="s">
        <v>44</v>
      </c>
      <c r="H45" s="8" t="s">
        <v>45</v>
      </c>
      <c r="I45" t="s">
        <v>46</v>
      </c>
      <c r="J45" t="s">
        <v>47</v>
      </c>
      <c r="K45">
        <v>0.48139999999999999</v>
      </c>
      <c r="L45">
        <v>0.4194</v>
      </c>
      <c r="M45">
        <v>0.17649999999999999</v>
      </c>
      <c r="N45">
        <v>0.54120000000000001</v>
      </c>
      <c r="O45">
        <v>0.78859999999999997</v>
      </c>
      <c r="Q45" s="2" t="s">
        <v>290</v>
      </c>
      <c r="R45" s="3">
        <v>0.40939999999999999</v>
      </c>
      <c r="S45">
        <f>K45-R45</f>
        <v>7.2000000000000008E-2</v>
      </c>
    </row>
    <row r="46" spans="1:19" x14ac:dyDescent="0.3">
      <c r="A46">
        <v>22</v>
      </c>
      <c r="B46">
        <v>653</v>
      </c>
      <c r="C46" t="s">
        <v>15</v>
      </c>
      <c r="D46" t="s">
        <v>16</v>
      </c>
      <c r="E46" t="s">
        <v>132</v>
      </c>
      <c r="F46" t="s">
        <v>133</v>
      </c>
      <c r="G46" t="s">
        <v>134</v>
      </c>
      <c r="H46" s="8" t="s">
        <v>133</v>
      </c>
      <c r="I46" t="s">
        <v>135</v>
      </c>
      <c r="J46" t="s">
        <v>136</v>
      </c>
      <c r="K46">
        <v>0.61850000000000005</v>
      </c>
      <c r="L46">
        <v>0.64749999999999996</v>
      </c>
      <c r="M46">
        <v>0.39439999999999997</v>
      </c>
      <c r="N46">
        <v>0.58440000000000003</v>
      </c>
      <c r="O46">
        <v>0.8478</v>
      </c>
      <c r="Q46" t="s">
        <v>301</v>
      </c>
      <c r="R46">
        <v>0.54049999999999998</v>
      </c>
      <c r="S46">
        <f>K46-R46</f>
        <v>7.8000000000000069E-2</v>
      </c>
    </row>
    <row r="47" spans="1:19" x14ac:dyDescent="0.3">
      <c r="A47">
        <v>44</v>
      </c>
      <c r="B47">
        <v>538</v>
      </c>
      <c r="C47" t="s">
        <v>15</v>
      </c>
      <c r="D47" t="s">
        <v>16</v>
      </c>
      <c r="E47" t="s">
        <v>254</v>
      </c>
      <c r="F47" t="s">
        <v>255</v>
      </c>
      <c r="G47" t="s">
        <v>256</v>
      </c>
      <c r="H47" s="8" t="s">
        <v>257</v>
      </c>
      <c r="I47" t="s">
        <v>258</v>
      </c>
      <c r="J47" t="s">
        <v>259</v>
      </c>
      <c r="K47">
        <v>0.64739999999999998</v>
      </c>
      <c r="L47">
        <v>0.62919999999999998</v>
      </c>
      <c r="M47">
        <v>0.36099999999999999</v>
      </c>
      <c r="N47">
        <v>0.69869999999999999</v>
      </c>
      <c r="O47">
        <v>0.90059999999999996</v>
      </c>
      <c r="Q47" t="s">
        <v>312</v>
      </c>
      <c r="R47">
        <v>0.56889999999999996</v>
      </c>
      <c r="S47">
        <f>K47-R47</f>
        <v>7.8500000000000014E-2</v>
      </c>
    </row>
    <row r="48" spans="1:19" hidden="1" x14ac:dyDescent="0.3">
      <c r="A48">
        <v>46</v>
      </c>
      <c r="B48">
        <v>573</v>
      </c>
      <c r="C48" t="s">
        <v>15</v>
      </c>
      <c r="D48" t="s">
        <v>16</v>
      </c>
      <c r="E48" t="s">
        <v>265</v>
      </c>
      <c r="F48" t="s">
        <v>266</v>
      </c>
      <c r="G48" t="s">
        <v>267</v>
      </c>
      <c r="H48" t="s">
        <v>268</v>
      </c>
      <c r="I48" t="s">
        <v>269</v>
      </c>
      <c r="J48" t="s">
        <v>270</v>
      </c>
      <c r="K48">
        <v>0.66510000000000002</v>
      </c>
      <c r="L48">
        <v>0.73909999999999998</v>
      </c>
      <c r="M48">
        <v>0.4572</v>
      </c>
      <c r="N48">
        <v>0.55459999999999998</v>
      </c>
      <c r="O48">
        <v>0.90959999999999996</v>
      </c>
      <c r="Q48" s="3" t="s">
        <v>270</v>
      </c>
      <c r="R48" s="3">
        <v>0.66510000000000002</v>
      </c>
      <c r="S48">
        <f>K48-R48</f>
        <v>0</v>
      </c>
    </row>
    <row r="49" spans="1:19" x14ac:dyDescent="0.3">
      <c r="A49">
        <v>29</v>
      </c>
      <c r="B49">
        <v>557</v>
      </c>
      <c r="C49" t="s">
        <v>15</v>
      </c>
      <c r="D49" t="s">
        <v>16</v>
      </c>
      <c r="E49" t="s">
        <v>172</v>
      </c>
      <c r="F49" t="s">
        <v>173</v>
      </c>
      <c r="G49" t="s">
        <v>174</v>
      </c>
      <c r="H49" s="8" t="s">
        <v>173</v>
      </c>
      <c r="I49" t="s">
        <v>175</v>
      </c>
      <c r="J49" t="s">
        <v>176</v>
      </c>
      <c r="K49">
        <v>0.93489999999999995</v>
      </c>
      <c r="L49">
        <v>0.95650000000000002</v>
      </c>
      <c r="M49">
        <v>0.84279999999999999</v>
      </c>
      <c r="N49">
        <v>0.94889999999999997</v>
      </c>
      <c r="O49">
        <v>0.99150000000000005</v>
      </c>
      <c r="Q49" s="4" t="s">
        <v>304</v>
      </c>
      <c r="R49" s="4">
        <v>0.82379999999999998</v>
      </c>
      <c r="S49">
        <f>K49-R49</f>
        <v>0.11109999999999998</v>
      </c>
    </row>
    <row r="50" spans="1:19" x14ac:dyDescent="0.3">
      <c r="A50">
        <v>30</v>
      </c>
      <c r="B50">
        <v>455</v>
      </c>
      <c r="C50" t="s">
        <v>15</v>
      </c>
      <c r="D50" t="s">
        <v>16</v>
      </c>
      <c r="E50" t="s">
        <v>177</v>
      </c>
      <c r="F50" t="s">
        <v>178</v>
      </c>
      <c r="G50" t="s">
        <v>179</v>
      </c>
      <c r="H50" s="8" t="s">
        <v>180</v>
      </c>
      <c r="I50" t="s">
        <v>181</v>
      </c>
      <c r="J50" t="s">
        <v>182</v>
      </c>
      <c r="K50">
        <v>0.84930000000000005</v>
      </c>
      <c r="L50">
        <v>0.81359999999999999</v>
      </c>
      <c r="M50">
        <v>0.69210000000000005</v>
      </c>
      <c r="N50">
        <v>0.95930000000000004</v>
      </c>
      <c r="O50">
        <v>0.93210000000000004</v>
      </c>
      <c r="Q50" t="s">
        <v>305</v>
      </c>
      <c r="R50">
        <v>0.54559999999999997</v>
      </c>
      <c r="S50">
        <f>K50-R50</f>
        <v>0.30370000000000008</v>
      </c>
    </row>
    <row r="51" spans="1:19" hidden="1" x14ac:dyDescent="0.3">
      <c r="A51">
        <v>49</v>
      </c>
      <c r="B51">
        <v>236</v>
      </c>
      <c r="C51" t="s">
        <v>15</v>
      </c>
      <c r="D51" t="s">
        <v>16</v>
      </c>
      <c r="E51" t="s">
        <v>280</v>
      </c>
      <c r="F51" t="s">
        <v>281</v>
      </c>
      <c r="G51" t="s">
        <v>282</v>
      </c>
      <c r="H51" t="s">
        <v>283</v>
      </c>
      <c r="I51" t="s">
        <v>284</v>
      </c>
      <c r="J51" t="s">
        <v>284</v>
      </c>
      <c r="K51">
        <v>0.99980000000000002</v>
      </c>
      <c r="L51">
        <v>1</v>
      </c>
      <c r="M51">
        <v>1</v>
      </c>
      <c r="N51">
        <v>0.99929999999999997</v>
      </c>
      <c r="O51">
        <v>1</v>
      </c>
      <c r="Q51" t="s">
        <v>284</v>
      </c>
      <c r="R51">
        <v>0.99980000000000002</v>
      </c>
      <c r="S51">
        <f t="shared" ref="S3:S51" si="0">K51-R51</f>
        <v>0</v>
      </c>
    </row>
  </sheetData>
  <autoFilter ref="A1:S51" xr:uid="{00000000-0001-0000-0000-000000000000}">
    <filterColumn colId="18">
      <customFilters>
        <customFilter operator="notEqual" val="0"/>
      </customFilters>
    </filterColumn>
    <sortState xmlns:xlrd2="http://schemas.microsoft.com/office/spreadsheetml/2017/richdata2" ref="A3:S50">
      <sortCondition ref="S1:S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2025-11-21T02:58:50Z</dcterms:created>
  <dcterms:modified xsi:type="dcterms:W3CDTF">2025-11-21T04:07:20Z</dcterms:modified>
</cp:coreProperties>
</file>