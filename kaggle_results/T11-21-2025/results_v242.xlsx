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1-2025\"/>
    </mc:Choice>
  </mc:AlternateContent>
  <xr:revisionPtr revIDLastSave="0" documentId="13_ncr:1_{8511C0CC-4645-4D92-8E33-272CFA39F6C3}"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Sheet1!$A$1:$S$51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2" i="1" l="1"/>
  <c r="S46" i="1"/>
  <c r="S4" i="1"/>
  <c r="S26" i="1"/>
  <c r="S45" i="1"/>
  <c r="S49" i="1"/>
  <c r="S8" i="1"/>
  <c r="S36" i="1"/>
  <c r="S35" i="1"/>
  <c r="S47" i="1"/>
  <c r="S12" i="1"/>
  <c r="S13" i="1"/>
  <c r="S25" i="1"/>
  <c r="S27" i="1"/>
  <c r="S22" i="1"/>
  <c r="S17" i="1"/>
  <c r="S7" i="1"/>
  <c r="S19" i="1"/>
  <c r="S38" i="1"/>
  <c r="S31" i="1"/>
  <c r="S9" i="1"/>
  <c r="S23" i="1"/>
  <c r="S41" i="1"/>
  <c r="S11" i="1"/>
  <c r="S15" i="1"/>
  <c r="S10" i="1"/>
  <c r="S28" i="1"/>
  <c r="S33" i="1"/>
  <c r="S30" i="1"/>
  <c r="S50" i="1"/>
  <c r="S32" i="1"/>
  <c r="S21" i="1"/>
  <c r="S34" i="1"/>
  <c r="S6" i="1"/>
  <c r="S24" i="1"/>
  <c r="S37" i="1"/>
  <c r="S42" i="1"/>
  <c r="S39" i="1"/>
  <c r="S40" i="1"/>
  <c r="S16" i="1"/>
  <c r="S20" i="1"/>
  <c r="S43" i="1"/>
  <c r="S44" i="1"/>
  <c r="S3" i="1"/>
  <c r="S18" i="1"/>
  <c r="S14" i="1"/>
  <c r="S48" i="1"/>
  <c r="S5" i="1"/>
  <c r="S29" i="1"/>
  <c r="S51" i="1"/>
  <c r="S2" i="1"/>
</calcChain>
</file>

<file path=xl/sharedStrings.xml><?xml version="1.0" encoding="utf-8"?>
<sst xmlns="http://schemas.openxmlformats.org/spreadsheetml/2006/main" count="467" uniqueCount="320">
  <si>
    <t>Sample_ID</t>
  </si>
  <si>
    <t>Original_Index</t>
  </si>
  <si>
    <t>Model</t>
  </si>
  <si>
    <t>System_Prompt</t>
  </si>
  <si>
    <t>Question</t>
  </si>
  <si>
    <t>Original_Context</t>
  </si>
  <si>
    <t>Full_Chunk_Score_Breakdown</t>
  </si>
  <si>
    <t>Augmented_Context_Used</t>
  </si>
  <si>
    <t>Ground_Truth_Answer</t>
  </si>
  <si>
    <t>Snippet_Focus_EN_Answer</t>
  </si>
  <si>
    <t>Snippet_Focus_EN_Avg-Score</t>
  </si>
  <si>
    <t>Snippet_Focus_EN_ROUGE-L</t>
  </si>
  <si>
    <t>Snippet_Focus_EN_BLEU</t>
  </si>
  <si>
    <t>Snippet_Focus_EN_METEOR</t>
  </si>
  <si>
    <t>Snippet_Focus_EN_BERTScore-F1</t>
  </si>
  <si>
    <t>unsloth/Qwen3-0.6B-unsloth-bnb-4bit</t>
  </si>
  <si>
    <t>Expert_EN</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</si>
  <si>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</si>
  <si>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</si>
  <si>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1. [Final Score: 1.0000]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
   - Unnormalized (Vec/BM25/Rerank): 0.8936 / 14.0581 / 0.8761
   - Normalized (Vec/BM25/Rerank):   1.0000 / 1.0000 / 1.0000
X2. [Final Score: 0.0000]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 Unnormalized (Vec/BM25/Rerank): 0.6131 / 1.0644 / 0.7422
   - Normalized (Vec/BM25/Rerank):   0.0000 / 0.0000 / 0.0000</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</si>
  <si>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&lt;highlight&gt;Nếu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nặng.&lt;/highlight&gt;</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</si>
  <si>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</si>
  <si>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</si>
  <si>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</si>
  <si>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0.7955 / 10.2743 / 0.9139
   - Normalized (Vec/BM25/Rerank):   1.0000 / 1.0000 / 1.0000</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</si>
  <si>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</si>
  <si>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</si>
  <si>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</si>
  <si>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</si>
  <si>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7.6327 / 0.7885
   - Normalized (Vec/BM25/Rerank):   1.0000 / 1.0000 / 1.0000</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</si>
  <si>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</si>
  <si>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</si>
  <si>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</si>
  <si>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</si>
  <si>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1. [Final Score: 1.0000]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0.8359 / 9.1135 / 0.8074
   - Normalized (Vec/BM25/Rerank):   1.0000 / 1.0000 / 1.0000
X2. [Final Score: 0.0000]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5.9917 / 0.7793
   - Normalized (Vec/BM25/Rerank):   0.0000 / 0.0000 / 0.0000</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</si>
  <si>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</si>
  <si>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Atenolol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</si>
  <si>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</si>
  <si>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t>
  </si>
  <si>
    <t>1. [Final Score: 1.0000] Cần thận trọng khi sử dụng ở những đối tượng
: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
   - Unnormalized (Vec/BM25/Rerank): 0.8608 / 20.6779 / 0.8577
   - Normalized (Vec/BM25/Rerank):   1.0000 / 1.0000 / 1.0000
X2. [Final Score: 0.0000] Sử dụng thuốc trong thời gian dài có thể dẫn đến bội nhiễm nấm hoặc vi khuẩn. Các triệu chứng bao gồm tiêu chảy và viêm đại tràng giả mạc liên quan đến C. difficile (đã thấy khi điều trị sau phẫu thuật trên 2 tháng).
   - Unnormalized (Vec/BM25/Rerank): 0.5878 / 5.1143 / 0.7731
   - Normalized (Vec/BM25/Rerank):   0.0000 / 0.0000 / 0.0000</t>
  </si>
  <si>
    <t>Ở trẻ trên 3 tháng tuổi, dùng liều cao Cefoxitin có liên quan đến tăng tỷ lệ mắc bệnh bạch cầu ái toan và tăng AST.</t>
  </si>
  <si>
    <t>Ở trẻ em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</si>
  <si>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</si>
  <si>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</si>
  <si>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1.0000] 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 Unnormalized (Vec/BM25/Rerank): 0.7415 / 4.9273 / 0.7712
   - Normalized (Vec/BM25/Rerank):   1.0000 / 1.0000 / 1.0000
X2. [Final Score: 0.0000]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0.7167 / 3.8723 / 0.7578
   - Normalized (Vec/BM25/Rerank):   0.0000 / 0.0000 / 0.0000</t>
  </si>
  <si>
    <t>&lt;highlight&gt;Nghiên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bụng.&lt;/highlight&gt;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</si>
  <si>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Cây ổi chứa thành phần hóa học như tannin, tanin, pectin.</t>
  </si>
  <si>
    <t>Cây ổi chứa thành phần hóa học gồm: cao lá, hoa và quả của cây ổi có tác dụng ức chế các vi khuẩn tụ cầu vàng và E. coli.</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</si>
  <si>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</si>
  <si>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</si>
  <si>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0.7000]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
   - Unnormalized (Vec/BM25/Rerank): 0.7485 / 11.2720 / 0.8717
   - Normalized (Vec/BM25/Rerank):   0.0000 / 1.0000 / 1.0000
X2. [Final Score: 0.3000] 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 Unnormalized (Vec/BM25/Rerank): 0.8774 / 9.4985 / 0.8610
   - Normalized (Vec/BM25/Rerank):   1.0000 / 0.0000 / 0.0000</t>
  </si>
  <si>
    <t>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&lt;highlight&gt;Việc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trộn.&lt;/highlight&gt;</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</si>
  <si>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</si>
  <si>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</si>
  <si>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</si>
  <si>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</si>
  <si>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1. [Final Score: 1.0000]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0.8817 / 7.3513 / 0.7985
   - Normalized (Vec/BM25/Rerank):   1.0000 / 1.0000 / 1.0000
X2. [Final Score: 0.0000] Tam thất thường được sử dụng với nhiều dạng khác nhau như tán bột, dùng tươi, ủ rượu hoặc bào chế dưới dạng viên hoàn.
   - Unnormalized (Vec/BM25/Rerank): 0.7211 / 4.6126 / 0.7946
   - Normalized (Vec/BM25/Rerank):   0.0000 / 0.0000 / 0.0000</t>
  </si>
  <si>
    <t>Tùy thuộc vào mục đích sử dụng mà có thể dùng dược liệu với liều khác nhau, thông thường 0,9 – 4,5 g (không quá 9 g một ngày).</t>
  </si>
  <si>
    <t>Liều dùng chung của Tam thất thông thường là 0,9 – 4,5 g (không quá 9 g một ngày).</t>
  </si>
  <si>
    <t>Trước khi sử dụng thuốc Oresol, bạn cần làm gì?</t>
  </si>
  <si>
    <t>-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t>
  </si>
  <si>
    <t>1. [Final Score: 1.0000] -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
   - Unnormalized (Vec/BM25/Rerank): 0.8095 / 3.4208 / 0.7306
   - Normalized (Vec/BM25/Rerank):   1.0000 / 1.0000 / 1.0000</t>
  </si>
  <si>
    <t>Đọc kĩ hướng dẫn sử dụng trên gói Oresol điện giải.</t>
  </si>
  <si>
    <t>Đọc kỹ hướng dẫn sử dụng trên gói Oresol.</t>
  </si>
  <si>
    <t>Sa sút trí tuệ do bệnh lý mạch máu dưới vỏ thường có những triệu chứng đặc trưng nào?</t>
  </si>
  <si>
    <t>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</si>
  <si>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1.0000] 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0.7641 / 16.4068 / 0.8535
   - Normalized (Vec/BM25/Rerank):   1.0000 / 1.0000 / 1.0000</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</si>
  <si>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</si>
  <si>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đặc trưng là mất kiểm soát bàng quang, người bệnh có thể yếu nhẹ một bên người hoặc đi đứng dễ bị té ngã hơn, hoạt động trở nên vụng về, phát âm không rõ, ít biểu lộ cảm xúc trên khuôn mặt.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</si>
  <si>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</si>
  <si>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tăng áp động mạch phổi,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t>
  </si>
  <si>
    <t>1. [Final Score: 1.0000] Mặc dù điều trị y khoa không thể chữa bệnh tăng áp động mạch phổi nhưng có thể làm giảm triệu chứng. Thay đổi lối sống cũng có thể giúp cải thiện tình trạng tăng áp động mạch phổi, do đó bạn nên
: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
   - Unnormalized (Vec/BM25/Rerank): 0.8741 / 10.8966 / 0.8680
   - Normalized (Vec/BM25/Rerank):   1.0000 / 1.0000 / 1.0000</t>
  </si>
  <si>
    <t>Không, bệnh tăng áp động mạch phổi không thể chữa khỏi hoàn toàn nhưng có thể làm giảm triệu chứng và cải thiện tình trạng.</t>
  </si>
  <si>
    <t>Không, bệnh tăng áp động mạch phổi không thể chữa khỏi hoàn toàn.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</si>
  <si>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</si>
  <si>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t>
  </si>
  <si>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
   - Unnormalized (Vec/BM25/Rerank): 0.6692 / 9.2397 / 0.8518
   - Normalized (Vec/BM25/Rerank):   1.0000 / 1.0000 / 1.0000</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</si>
  <si>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</si>
  <si>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có thể hướng dẫn những bài tập an toàn, thích hợp, giúp tăng cường sức mạnh, sự linh động, thăng bằng cũng như sự điều hợp của cơ thể.</t>
  </si>
  <si>
    <t>Dịch chiết của Dầu giun có khả năng chống gì?</t>
  </si>
  <si>
    <t>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t>
  </si>
  <si>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
   - Unnormalized (Vec/BM25/Rerank): 0.8767 / 9.5295 / 0.7993
   - Normalized (Vec/BM25/Rerank):   1.0000 / 1.0000 / 1.0000
X2. [Final Score: 0.0000] 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 Unnormalized (Vec/BM25/Rerank): 0.8283 / 7.8720 / 0.7952
   - Normalized (Vec/BM25/Rerank):   0.0000 / 0.0000 / 0.0000</t>
  </si>
  <si>
    <t>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&lt;highlight&gt;Cũng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dụng.&lt;/highlight&gt;</t>
  </si>
  <si>
    <t>Dịch chiết của Dầu giun có khả năng chống oxy hóa cao và ức chế sự phát triển ung thư đại tràng, cổ tử cung và tế bào gan, không có tác động lên các tế bào không phải khối u.</t>
  </si>
  <si>
    <t>Dịch chiết của Dầu giun có khả năng chống oxy hóa cao và ức chế sự phát triển ung thư đại tràng, ung thư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</si>
  <si>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</si>
  <si>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</si>
  <si>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 Unnormalized (Vec/BM25/Rerank): 0.7867 / 17.9556 / 0.8596
   - Normalized (Vec/BM25/Rerank):   1.0000 / 1.0000 / 1.0000
X2. [Final Score: 0.0000] Đỉnh hạt dẹt, chiều dài mỗi hạt cỡ 2mm.
   - Unnormalized (Vec/BM25/Rerank): 0.5182 / 0.0000 / 0.6176
   - Normalized (Vec/BM25/Rerank):   0.0000 / 0.0000 / 0.0000</t>
  </si>
  <si>
    <t>Dây tơ hồng vàng không có khả năng quang hợp nên phải hút chất dinh dưỡng từ cây khác để tồn tại.</t>
  </si>
  <si>
    <t>Không, dây tơ hồng vàng không có khả năng quang hợp nên phải hút chất dinh dưỡng từ cây chủ để tồn tại.</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</si>
  <si>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</si>
  <si>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</si>
  <si>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0.7000] 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 Unnormalized (Vec/BM25/Rerank): 0.8001 / 18.9787 / 0.8543
   - Normalized (Vec/BM25/Rerank):   0.0000 / 1.0000 / 1.0000
X2. [Final Score: 0.3000]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0.8054 / 15.7124 / 0.8497
   - Normalized (Vec/BM25/Rerank):   1.0000 / 0.0000 / 0.0000</t>
  </si>
  <si>
    <t>&lt;highlight&gt;Rối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dục?&lt;/highlight&gt;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</si>
  <si>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</si>
  <si>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 Trẻ em có thể học cách bắt chước hoặc sau đó được củng cố hành vi đó.</t>
  </si>
  <si>
    <t>Tác dụng của quả cà dại hoa tím ra sao?</t>
  </si>
  <si>
    <t>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</si>
  <si>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0.7000]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0.8426 / 11.0107 / 0.7570
   - Normalized (Vec/BM25/Rerank):   0.0000 / 1.0000 / 1.0000
X2. [Final Score: 0.3000] 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 Unnormalized (Vec/BM25/Rerank): 0.8635 / 7.7910 / 0.7442
   - Normalized (Vec/BM25/Rerank):   1.0000 / 0.0000 / 0.0000</t>
  </si>
  <si>
    <t>Quả cà dại hoa tím được coi là độc, có tác dụng nhuận tràng và làm dễ tiêu.</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</si>
  <si>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</si>
  <si>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t>
  </si>
  <si>
    <t>1. [Final Score: 0.7000] Các cận lâm sàng thường dùng để chẩn đoán thoát vị hoành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
   - Unnormalized (Vec/BM25/Rerank): 0.8494 / 16.4258 / 0.8937
   - Normalized (Vec/BM25/Rerank):   0.0000 / 1.0000 / 1.0000
X2. [Final Score: 0.3000] Chẩn đoán thoát vị hoành cần phối hợp hỏi bệnh, khám lâm sàng và cận lâm sàng. Tuỳ theo tuổi, dấu hiệu bệnh mà bác sĩ sẽ có các xét nghiệm phù hợp.
   - Unnormalized (Vec/BM25/Rerank): 0.8654 / 14.4323 / 0.8271
   - Normalized (Vec/BM25/Rerank):   1.0000 / 0.0000 / 0.0000</t>
  </si>
  <si>
    <t>Siêu âm bụng, X-quang, chụp X-quang dạ dày cản quang, X-quang phổi, chụp cắt lớp vi tính, chụp cắt lớp có tiêm kết hợp uống thuốc cản quang.</t>
  </si>
  <si>
    <t>Các cận lâm sàng thường được dùng để chẩn đoán thoát vị hoành là siêu âm bụng, X – quang, chụp X – quang dạ dày cản quang, chụp X – quang phổi và chụp cắt lớp vi tính.</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</si>
  <si>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</si>
  <si>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</si>
  <si>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
   - Unnormalized (Vec/BM25/Rerank): 0.8300 / 10.3442 / 0.8323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</si>
  <si>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</si>
  <si>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</si>
  <si>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</si>
  <si>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t>
  </si>
  <si>
    <t>1. [Final Score: 0.7000] 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 Unnormalized (Vec/BM25/Rerank): 0.8064 / 14.4155 / 0.8713
   - Normalized (Vec/BM25/Rerank):   0.0000 / 1.0000 / 1.0000
X2. [Final Score: 0.3000]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14.0732 / 0.8580
   - Normalized (Vec/BM25/Rerank):   1.0000 / 0.0000 / 0.0000</t>
  </si>
  <si>
    <t>&lt;highlight&gt;Trước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bạn.&lt;/highlight&gt;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</si>
  <si>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</si>
  <si>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có sự khác biệt rõ ràng về giọng nói, giới tính, phong cách và thậm chí cả những phẩm chất thể chất.</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</si>
  <si>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</si>
  <si>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t>
  </si>
  <si>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
   - Unnormalized (Vec/BM25/Rerank): 0.8378 / 7.3101 / 0.8411
   - Normalized (Vec/BM25/Rerank):   1.0000 / 1.0000 / 1.0000
X2. [Final Score: 0.0000]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5.3789 / 0.8259
   - Normalized (Vec/BM25/Rerank):   0.0000 / 0.0000 / 0.0000</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</si>
  <si>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nhân.&lt;/highlight&gt;</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</si>
  <si>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</si>
  <si>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</si>
  <si>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</si>
  <si>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mạch…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</si>
  <si>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7.7733 / 0.8445
   - Normalized (Vec/BM25/Rerank):   1.0000 / 1.0000 / 1.0000
X2. [Final Score: 0.0000] Người bệnh cao huyết áp không dùng đến tránh làm tăng huyết áp và đột quỵ. Người bệnh viêm gan, suy thận, bệnh tim mạch… không nên dùng để tránh các biến chứng.
   - Unnormalized (Vec/BM25/Rerank): 0.5006 / 2.5545 / 0.7787
   - Normalized (Vec/BM25/Rerank):   0.0000 / 0.0000 / 0.0000</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</si>
  <si>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mạch…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</si>
  <si>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</si>
  <si>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có thể gây hại nếu không tuân thủ đúng hướng dẫn, chẳng hạn như: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mạch… không nên dùng để tránh các biến chứng.</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</si>
  <si>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</si>
  <si>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t>
  </si>
  <si>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9.1600 / 0.8157
   - Normalized (Vec/BM25/Rerank):   1.0000 / 1.0000 / 1.0000
X2. [Final Score: 0.0000]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
   - Unnormalized (Vec/BM25/Rerank): 0.7506 / 3.9319 / 0.7435
   - Normalized (Vec/BM25/Rerank):   0.0000 / 0.0000 / 0.0000</t>
  </si>
  <si>
    <t>&lt;highlight&gt;Mỗi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phủ.&lt;/highlight&gt;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</si>
  <si>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</si>
  <si>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</si>
  <si>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</si>
  <si>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</si>
  <si>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1.0000] Bạn có thể tự mình làm giảm các triệu chứng của rối loạn chức năng não sau hóa trị. Hãy thử
: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0.7006 / 10.8410 / 0.8402
   - Normalized (Vec/BM25/Rerank):   1.0000 / 1.0000 / 1.0000</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</si>
  <si>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</si>
  <si>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chúng ra, ghi lại suy nghĩ của bạn sẽ giúp nhanh chóng xóa chúng đi và đảm bảo rằng bạn sẽ nhớ những suy nghĩ đó sau này.</t>
  </si>
  <si>
    <t>Những người mắc bệnh này có thể có số lượng tiểu cầu bao nhiêu?</t>
  </si>
  <si>
    <t>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Xem thêm: Tăng tiểu cầu nguyên phát, bạn đã biết gì về căn bệnh này?</t>
  </si>
  <si>
    <t>1. [Final Score: 0.7000] 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 Unnormalized (Vec/BM25/Rerank): 0.7569 / 11.3195 / 0.8814
   - Normalized (Vec/BM25/Rerank):   0.0000 / 1.0000 / 1.0000
X2. [Final Score: 0.3000] Xem thêm: Tăng tiểu cầu nguyên phát, bạn đã biết gì về căn bệnh này?
   - Unnormalized (Vec/BM25/Rerank): 0.7926 / 4.8719 / 0.7574
   - Normalized (Vec/BM25/Rerank):   1.0000 / 0.0000 / 0.0000</t>
  </si>
  <si>
    <t>&lt;highlight&gt;Trong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này.&lt;/highlight&gt; Xem thêm: Tăng tiểu cầu nguyên phát, bạn đã biết gì về căn bệnh này?</t>
  </si>
  <si>
    <t>Những người mắc bệnh này có thể có số lượng tiểu cầu hơn 1 triệu.</t>
  </si>
  <si>
    <t>Những người mắc bệnh tăng tiểu cầu nguyên phát có thể có số lượng tiểu cầu hơn 1 triệu.</t>
  </si>
  <si>
    <t>Làm thế nào để điều trị Barrett thực quản?</t>
  </si>
  <si>
    <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</si>
  <si>
    <t>1. [Final Score: 0.5000]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 Unnormalized (Vec/BM25/Rerank): 0.8386 / 5.8761 / 0.7413
   - Normalized (Vec/BM25/Rerank):   1.0000 / 1.0000 / 0.0000
2. [Final Score: 0.5000]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
   - Unnormalized (Vec/BM25/Rerank): 0.7384 / 5.8575 / 0.7690
   - Normalized (Vec/BM25/Rerank):   0.0000 / 0.0000 / 1.0000</t>
  </si>
  <si>
    <t>Barrett thực quản cần được theo dõi và kiểm tra thường xuyên các tế bào bất thường, điều trị sớm trước khi hóa thành tế bào ung thư.</t>
  </si>
  <si>
    <t>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</si>
  <si>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</si>
  <si>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Ngược lại, khi nồng độ TSH giảm và nồng độ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</si>
  <si>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 Unnormalized (Vec/BM25/Rerank): 0.9256 / 14.5297 / 0.8810
   - Normalized (Vec/BM25/Rerank):   1.0000 / 1.0000 / 1.0000
X2. [Final Score: 0.0000] Ngược lại, khi nồng độ TSH giảm và nồng độ T3, T4 tăng sẽ gây cường giáp.
   - Unnormalized (Vec/BM25/Rerank): 0.6737 / 2.4441 / 0.7667
   - Normalized (Vec/BM25/Rerank):   0.0000 / 0.0000 / 0.0000</t>
  </si>
  <si>
    <t>&lt;highlight&gt;Xét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giáp.&lt;/highlight&gt; Ngược lại, khi nồng độ TSH giảm và nồng độ T3, T4 tăng sẽ gây cường giáp.</t>
  </si>
  <si>
    <t>Những hormonee thường được định lượng khi xét nghiệm tuyến giáp là hormonee giáp T4, T3, hormonee kiểm soát tuyến giáp TSH và các tự kháng thể tuyến giáp.</t>
  </si>
  <si>
    <t>Những hormonee thường được định lượng khi xét nghiệm tuyến giáp là hormonee giáp thyroxine (T4), triiodothyronine (T3), hormonee kiểm soát tuyến giáp hormone kích thích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</si>
  <si>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</si>
  <si>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</si>
  <si>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16.7741 / 0.9301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2.8479 / 0.7878
   - Normalized (Vec/BM25/Rerank):   0.0000 / 0.0000 / 0.0000</t>
  </si>
  <si>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</si>
  <si>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</si>
  <si>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</si>
  <si>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</si>
  <si>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của tế bào ung thư.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t>
  </si>
  <si>
    <t>1. [Final Score: 1.0000] Có thể xạ trị toàn bộ não nếu có khối u di căn lên não. Phương pháp này cũng có thể thực hiện kèm theo sau phẫu thuật để giảm sự lây lan của tế bào ung thư.
   - Unnormalized (Vec/BM25/Rerank): 0.8796 / 14.3759 / 0.8855
   - Normalized (Vec/BM25/Rerank):   1.0000 / 1.0000 / 1.0000
X2. [Final Score: 0.0000]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
   - Unnormalized (Vec/BM25/Rerank): 0.7621 / 9.0202 / 0.8513
   - Normalized (Vec/BM25/Rerank):   0.0000 / 0.0000 / 0.0000</t>
  </si>
  <si>
    <t>&lt;highlight&gt;Có thể xạ trị toàn bộ não nếu có khối u di căn lên não. Phương pháp này cũng có thể thực hiện kèm theo sau phẫu thuật để giảm sự lây lan của tế bào ung thư.&lt;/highlight&gt;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t>
  </si>
  <si>
    <t>Phương pháp này cũng có thể thực hiện kèm theo sau phẫu thuật để giảm sự lây lan ung thư.</t>
  </si>
  <si>
    <t>Xạ trị toàn bộ não có thể được thực hiện kèm theo sau phẫu thuật để giảm sự lây lan của tế bào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</si>
  <si>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</si>
  <si>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t>
  </si>
  <si>
    <t>1. [Final Score: 1.0000] Nếu dùng cả con bọ cạp thì gọi là toàn yết. Nếu chỉ dùng đuôi bọ cạp thì gọi là yết vĩ. Toàn yết có tên khoa học là Buthus martensii thuộc họ Bọ cạp Buthidae.
   - Unnormalized (Vec/BM25/Rerank): 0.7293 / 12.2985 / 0.7883
   - Normalized (Vec/BM25/Rerank):   1.0000 / 1.0000 / 1.0000
X2. [Final Score: 0.0000] Toàn yết là tên dược liệu từ con bọ cạp. Còn có tên khác là toàn trùng, yết tử, yết vĩ.
   - Unnormalized (Vec/BM25/Rerank): 0.6964 / 10.0343 / 0.7364
   - Normalized (Vec/BM25/Rerank):   0.0000 / 0.0000 / 0.0000</t>
  </si>
  <si>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</si>
  <si>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</si>
  <si>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</si>
  <si>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</si>
  <si>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ung thư ruột non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</si>
  <si>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1.0000] Các triệu chứng một khi đã rõ ràng thì hầu như ung thư ruột non đã vào giai đoạn muộn. Các triệu chứng mơ hồ, gồm
: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0.7860 / 11.1240 / 0.8611
   - Normalized (Vec/BM25/Rerank):   1.0000 / 1.0000 / 1.0000
X2. [Final Score: 0.0000]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8.6036 / 0.8249
   - Normalized (Vec/BM25/Rerank):   0.0000 / 0.0000 / 0.0000</t>
  </si>
  <si>
    <t>Ung thư ruột non xuất hiện tắc ruột trong khoảng 15 – 35% các trường hợp.</t>
  </si>
  <si>
    <t>Ung thư ruột non xuất hiện tắc ruột trong 15 – 35% các trường hợp.</t>
  </si>
  <si>
    <t>Cấu trúc của hầu họng như thế nào?</t>
  </si>
  <si>
    <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hầu họng cho phép luồng không khí đi qua thanh quản.</t>
  </si>
  <si>
    <t>1. [Final Score: 1.0000] 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0.8758 / 5.7015 / 0.7551
   - Normalized (Vec/BM25/Rerank):   1.0000 / 1.0000 / 1.0000
X2. [Final Score: 0.0000] Đồng thời hầu họng cho phép luồng không khí đi qua thanh quản.
   - Unnormalized (Vec/BM25/Rerank): 0.7116 / 3.6263 / 0.7233
   - Normalized (Vec/BM25/Rerank):   0.0000 / 0.0000 / 0.0000</t>
  </si>
  <si>
    <t>&lt;highlight&gt;Hầu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quản.&lt;/highlight&gt; Đồng thời hầu họng cho phép luồng không khí đi qua thanh quản.</t>
  </si>
  <si>
    <t>Về mặt bên, hầu họng được tiếp giáp với trụ amidan trước và sau. Phía sau, thành hầu được cấu tạo phần lớn bởi các cơ co thắt hầu.</t>
  </si>
  <si>
    <t>Hầu họng được cấu tạo phần lớn bởi các cơ co thắt hầu.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</si>
  <si>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</si>
  <si>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</si>
  <si>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 Unnormalized (Vec/BM25/Rerank): 0.8483 / 8.5475 / 0.8116
   - Normalized (Vec/BM25/Rerank):   1.0000 / 1.0000 / 1.0000
X2. [Final Score: 0.0000] Đồng thời gây ra những thay đổi về mặt chuyển hóa, chẳng hạn như
: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
   - Unnormalized (Vec/BM25/Rerank): 0.6601 / 4.3810 / 0.7343
   - Normalized (Vec/BM25/Rerank):   0.0000 / 0.0000 / 0.0000</t>
  </si>
  <si>
    <t>&lt;highlight&gt;Adrenaline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Adrenergic.&lt;/highlight&gt;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</si>
  <si>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Quá trình tiết Adrenaline xảy ra khá nhanh, trong vòng từ 2 đến 3 phút sau khi xuất hiện cảm xúc.</t>
  </si>
  <si>
    <t>Quá trình tiết Adrenaline diễn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</si>
  <si>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</si>
  <si>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t>
  </si>
  <si>
    <t>1. [Final Score: 1.0000]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
   - Unnormalized (Vec/BM25/Rerank): 0.8377 / 8.0348 / 0.7669
   - Normalized (Vec/BM25/Rerank):   1.0000 / 1.0000 / 1.0000
X2. [Final Score: 0.0000] Trong mỗi hạt hạnh nhân chứa 1/2 trọng lượng là dầu. Hạt hạnh nhân chín sẽ được ép dầu, nếu không qua tinh chế thì gọi là dầu hạnh nhân thô.
   - Unnormalized (Vec/BM25/Rerank): 0.8100 / 6.2128 / 0.7213
   - Normalized (Vec/BM25/Rerank):   0.0000 / 0.0000 / 0.0000</t>
  </si>
  <si>
    <t>Trong mỗi hạt hạnh nhân chứa 1/2 trọng lượng là dầu. Hạt hạnh nhân chín sẽ được ép dầu, nếu không qua tinh chế thì gọi là dầu hạnh nhân thô. &lt;highlight&gt;Dầu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nướng.&lt;/highlight&gt;</t>
  </si>
  <si>
    <t>Dầu hạnh nhân có hai vị là vị ngọt và vị đắng.</t>
  </si>
  <si>
    <t>Dầu hạnh nhân có hai vị ngọt và vị đắng.</t>
  </si>
  <si>
    <t>Làm thế nào để chẩn đoán chính xác u nhú thanh quản?</t>
  </si>
  <si>
    <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</si>
  <si>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0.9112 / 10.0461 / 0.8081
   - Normalized (Vec/BM25/Rerank):   1.0000 / 1.0000 / 1.0000
X2. [Final Score: 0.0000] Các mẫu sinh thiết được thu thập dưới gây mê toàn thân, qua nội soi thanh quản trực tiếp hoặc nội soi phế quản sợi quang.
   - Unnormalized (Vec/BM25/Rerank): 0.6426 / 3.1325 / 0.7849
   - Normalized (Vec/BM25/Rerank):   0.0000 / 0.0000 / 0.0000</t>
  </si>
  <si>
    <t>&lt;highlight&gt;Bệnh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</si>
  <si>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</si>
  <si>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Chẩn đoán chính xác u nhú thanh quản thông qua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</si>
  <si>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</si>
  <si>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t>
  </si>
  <si>
    <t>1. [Final Score: 1.0000]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
   - Unnormalized (Vec/BM25/Rerank): 0.7961 / 9.1692 / 0.7694
   - Normalized (Vec/BM25/Rerank):   1.0000 / 1.0000 / 1.0000
X2. [Final Score: 0.0000] Tim người bình thường có thể chia thành tim trái và tim phải, tổng cộng gồm có 4 buồng tim. Trong đó, tim trái gồm nhĩ trái và thất trái, còn tim phải gồm nhĩ phải và thất phải.
   - Unnormalized (Vec/BM25/Rerank): 0.6134 / 5.2896 / 0.7292
   - Normalized (Vec/BM25/Rerank):   0.0000 / 0.0000 / 0.0000</t>
  </si>
  <si>
    <t>Tim người bình thường có thể chia thành tim trái và tim phải, tổng cộng gồm có 4 buồng tim. Trong đó, tim trái gồm nhĩ trái và thất trái, còn tim phải gồm nhĩ phải và thất phải. &lt;highlight&gt;Với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phổi).&lt;/highlight&gt;</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</si>
  <si>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</si>
  <si>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suy giảm lượng máu bơm đi nuôi cơ thể và ứ máu tại thất trái.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</si>
  <si>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</si>
  <si>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</si>
  <si>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
   - Unnormalized (Vec/BM25/Rerank): 0.9280 / 10.5179 / 0.8275
   - Normalized (Vec/BM25/Rerank):   1.0000 / 1.0000 / 1.0000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</si>
  <si>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</si>
  <si>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</si>
  <si>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</si>
  <si>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</si>
  <si>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 Unnormalized (Vec/BM25/Rerank): 0.8242 / 11.9042 / 0.8105
   - Normalized (Vec/BM25/Rerank):   1.0000 / 1.0000 / 1.0000
X2. [Final Score: 0.0000] Trong ngăn có phấn hoa và mật, đồng thời chúng dùng để đẻ trứng.
   - Unnormalized (Vec/BM25/Rerank): 0.5470 / 0.0000 / 0.7351
   - Normalized (Vec/BM25/Rerank):   0.0000 / 0.0000 / 0.0000</t>
  </si>
  <si>
    <t>&lt;highlight&gt;Ong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ngăn.&lt;/highlight&gt; Trong ngăn có phấn hoa và mật, đồng thời chúng dùng để đẻ trứng.</t>
  </si>
  <si>
    <t>Vì ong đen thường sống trong đốt tre, cây nứa.</t>
  </si>
  <si>
    <t>Ong đen có tên gọi là Trúc phong vì trúc là cây tre, cây nứa; phong là con ong, vì con ong này sống trong đốt tre cho nên có tên như vậy.</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</si>
  <si>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</si>
  <si>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t>
  </si>
  <si>
    <t>1. [Final Score: 1.0000]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
   - Unnormalized (Vec/BM25/Rerank): 0.8796 / 12.9975 / 0.8653
   - Normalized (Vec/BM25/Rerank):   1.0000 / 1.0000 / 1.0000
X2. [Final Score: 0.0000] Hệ thống tiết niệu chịu ảnh hưởng của hệ tuần hoàn, hệ thần kinh và hệ thống nội tiết. Aldosterone đóng vai trò trung tâm trong việc điều hòa huyết áp thông qua tác dụng của nó đối với thận.
   - Unnormalized (Vec/BM25/Rerank): 0.7078 / 2.4216 / 0.7317
   - Normalized (Vec/BM25/Rerank):   0.0000 / 0.0000 / 0.0000</t>
  </si>
  <si>
    <t>Hệ thống tiết niệu chịu ảnh hưởng của hệ tuần hoàn, hệ thần kinh và hệ thống nội tiết. Aldosterone đóng vai trò trung tâm trong việc điều hòa huyết áp thông qua tác dụng của nó đối với thận. &lt;highlight&gt;Aldosterone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</si>
  <si>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</si>
  <si>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</si>
  <si>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</si>
  <si>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t>
  </si>
  <si>
    <t>1. [Final Score: 1.0000]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
   - Unnormalized (Vec/BM25/Rerank): 0.8170 / 15.1115 / 0.8547
   - Normalized (Vec/BM25/Rerank):   1.0000 / 1.0000 / 1.0000
X2. [Final Score: 0.0000] 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 Unnormalized (Vec/BM25/Rerank): 0.7714 / 11.7924 / 0.7815
   - Normalized (Vec/BM25/Rerank):   0.0000 / 0.0000 / 0.0000</t>
  </si>
  <si>
    <t>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&lt;highlight&gt;Thân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thiết.&lt;/highlight&gt;</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</si>
  <si>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</si>
  <si>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</si>
  <si>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</si>
  <si>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</si>
  <si>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0.8771 / 8.6972 / 0.8444
   - Normalized (Vec/BM25/Rerank):   1.0000 / 1.0000 / 1.0000</t>
  </si>
  <si>
    <t>Đau đầu khi ho có thể do nguyên nhân từ cấu trúc não bộ hoặc từ những căng thẳng như hắt hơi, cúi xuống, đi tiêu.</t>
  </si>
  <si>
    <t>Khi ho, đau đầu thường do nguyên nhân do các vấn đề về cấu trúc trong não bộ.</t>
  </si>
  <si>
    <t>U xơ tử cung thường gây ra triệu chứng gì?</t>
  </si>
  <si>
    <t>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t>
  </si>
  <si>
    <t>1. [Final Score: 1.0000]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
   - Unnormalized (Vec/BM25/Rerank): 0.8274 / 8.1880 / 0.8745
   - Normalized (Vec/BM25/Rerank):   1.0000 / 1.0000 / 1.0000
X2. [Final Score: 0.0000] 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 Unnormalized (Vec/BM25/Rerank): 0.8075 / 6.4227 / 0.7715
   - Normalized (Vec/BM25/Rerank):   0.0000 / 0.0000 / 0.0000</t>
  </si>
  <si>
    <t>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&lt;highlight&gt;U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sản.&lt;/highlight&gt;</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</si>
  <si>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</si>
  <si>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tình dục, hay đau âm ỉ ở vùng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</si>
  <si>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</si>
  <si>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t>
  </si>
  <si>
    <t>1. [Final Score: 1.0000] Mặt này được chia là 2 phần bởi một dãy 8 hay 9 gai vị giác (gai đài) xếp thành chữ V có đỉnh quay vào trong (V lưỡi). Phía trước lưng lưỡi có 3 loại gai vị giác
: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
   - Unnormalized (Vec/BM25/Rerank): 0.7948 / 10.1043 / 0.8453
   - Normalized (Vec/BM25/Rerank):   1.0000 / 1.0000 / 1.0000
X2. [Final Score: 0.0000] Lưỡi có một phần di động và một phần cố định gọi là đáy lưỡi. Mặt trên lưỡi hay lưng lưỡi được phủ lớp niêm mạc sần sùi hồng nhạt.
   - Unnormalized (Vec/BM25/Rerank): 0.6404 / 2.5149 / 0.7295
   - Normalized (Vec/BM25/Rerank):   0.0000 / 0.0000 / 0.0000</t>
  </si>
  <si>
    <t>Ở hai bên thắng lưỡi, có thể thấy 2 u thịt do cơ cằm lưỡi đội lên.</t>
  </si>
  <si>
    <t>Bầm tím là triệu chứng phổ biến nào của gãy xương cổ chân?</t>
  </si>
  <si>
    <t>Các triệu chứng phổ biến cho gãy xương cổ chân bao gồm:1 2 - Đau tức thời và dữ dội. - Sưng. - Bầm tím. - Đau hay khó chịu khi đụng vào. - Không thể di chuyển được hay di chuyển hạn chế. - Biến dạng vùng cổ chân.</t>
  </si>
  <si>
    <t>1. [Final Score: 1.0000] Các triệu chứng phổ biến cho gãy xương cổ chân bao gồm
:1 2 - Đau tức thời và dữ dội. - Sưng. - Bầm tím. - Đau hay khó chịu khi đụng vào. - Không thể di chuyển được hay di chuyển hạn chế. - Biến dạng vùng cổ chân.
   - Unnormalized (Vec/BM25/Rerank): 0.8853 / 15.5257 / 0.8401
   - Normalized (Vec/BM25/Rerank):   1.0000 / 1.0000 / 1.0000</t>
  </si>
  <si>
    <t>Bầm tím là một trong những triệu chứng phổ biến của gãy xương vùng cổ chân.</t>
  </si>
  <si>
    <t>Bầm tím là triệu chứng phổ biến của gãy xương cổ chân.</t>
  </si>
  <si>
    <t>Cơ thể mỗi người có mấy cặp tuyến nước bọt chính?</t>
  </si>
  <si>
    <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</si>
  <si>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 Unnormalized (Vec/BM25/Rerank): 0.8588 / 12.7547 / 0.8749
   - Normalized (Vec/BM25/Rerank):   1.0000 / 1.0000 / 1.0000
X2. [Final Score: 0.0000]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
   - Unnormalized (Vec/BM25/Rerank): 0.6810 / 8.4590 / 0.7500
   - Normalized (Vec/BM25/Rerank):   0.0000 / 0.0000 / 0.0000</t>
  </si>
  <si>
    <t>&lt;highlight&gt;Cơ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ra.&lt;/highlight&gt;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t>
  </si>
  <si>
    <t>Cơ thể mỗi người có 3 cặp tuyến nước bọt chính.</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</si>
  <si>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</si>
  <si>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</si>
  <si>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0.7797 / 5.6508 / 0.7973
   - Normalized (Vec/BM25/Rerank):   1.0000 / 1.0000 / 1.0000
X2. [Final Score: 0.0000] U tụy nội tiết sản xuất hormone gastrin. Đây là loại hormon tuyến tụy có chức năng kích thích dạ dày tiết ra a xít.
   - Unnormalized (Vec/BM25/Rerank): 0.7589 / 2.8646 / 0.7469
   - Normalized (Vec/BM25/Rerank):   0.0000 / 0.0000 / 0.0000</t>
  </si>
  <si>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cao.&lt;/highlight&gt;</t>
  </si>
  <si>
    <t>Tình trạng dư thừa gastrin có thể làm tăng nguy cơ loét dạ dày - tá tràng và thủng dạ dày nếu không được điều trị kịp thời.</t>
  </si>
  <si>
    <t>Tình trạng dư thừa gastrin có thể gây ra hậu quả là thủng dạ dày.</t>
  </si>
  <si>
    <t>Binh lang có đặc điểm gì mà cần lưu ý khi sử dụng?</t>
  </si>
  <si>
    <t>-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</si>
  <si>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0.7912 / 7.8215 / 0.8095
   - Normalized (Vec/BM25/Rerank):   1.0000 / 1.0000 / 1.0000</t>
  </si>
  <si>
    <t>Hạt Cau kỵ lửa, vì vậy không nên sao chín vì có thể làm giảm tác dụng chữa bệnh của dược liệu.</t>
  </si>
  <si>
    <t>Binh lang có đặc điểm là không nên sao chín vì có thể làm giảm tác dụng chữa bệnh của dược liệu Hạt Cau.</t>
  </si>
  <si>
    <t>Bác sĩ chẩn đoán bệnh biến dạng ngón chân cái bằng cách nào?</t>
  </si>
  <si>
    <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</si>
  <si>
    <t>1. [Final Score: 1.0000] 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 Unnormalized (Vec/BM25/Rerank): 0.8615 / 14.2392 / 0.8620
   - Normalized (Vec/BM25/Rerank):   1.0000 / 1.0000 / 1.0000
X2. [Final Score: 0.0000]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
   - Unnormalized (Vec/BM25/Rerank): 0.7907 / 10.8282 / 0.8378
   - Normalized (Vec/BM25/Rerank):   0.0000 / 0.0000 / 0.0000</t>
  </si>
  <si>
    <t>&lt;highlight&gt;Bác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không.&lt;/highlight&gt;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</si>
  <si>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</si>
  <si>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</si>
  <si>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</si>
  <si>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t>
  </si>
  <si>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
   - Unnormalized (Vec/BM25/Rerank): 0.6959 / 6.6367 / 0.8000
   - Normalized (Vec/BM25/Rerank):   1.0000 / 1.0000 / 1.0000</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</si>
  <si>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</si>
  <si>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Đoạn thân (cành) vuông, có mấu gai, hình như lưỡi câu, được cắt thành đoạn 2 – 3cm, đường kính 5mm. Phần lớn mấu thân có 2 móc câu cong hướng đối diện nhau.</t>
  </si>
  <si>
    <t>Nơi nào có điều kiện tối ưu nhất cho sự phát triển của Hạ khô thảo?</t>
  </si>
  <si>
    <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Cây Hạ khô thảo không chịu được nắng nóng.</t>
  </si>
  <si>
    <t>1. [Final Score: 1.0000] 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 Unnormalized (Vec/BM25/Rerank): 0.8829 / 9.0155 / 0.8308
   - Normalized (Vec/BM25/Rerank):   1.0000 / 1.0000 / 1.0000
X2. [Final Score: 0.0000] Cây Hạ khô thảo không chịu được nắng nóng.
   - Unnormalized (Vec/BM25/Rerank): 0.7007 / 5.8059 / 0.7359
   - Normalized (Vec/BM25/Rerank):   0.0000 / 0.0000 / 0.0000</t>
  </si>
  <si>
    <t>&lt;highlight&gt;Cây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18°C.&lt;/highlight&gt; Cây Hạ khô thảo không chịu được nắng nóng.</t>
  </si>
  <si>
    <t>Môi trường ẩm ướt, mưa nhiều, nhiệt độ tầm 15 – 18°C.</t>
  </si>
  <si>
    <t>Hạ khô thảo dễ mọc tự nhiên ở các vùng có độ cao 1.000 – 1.500m so với mực nước biển. Cây Hạ khô thảo mọc tốt nhất trong môi trường ẩm ướt, mưa nhiều, nhiệt độ tầm 15 – 18°C.</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</si>
  <si>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</si>
  <si>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t>
  </si>
  <si>
    <t>1. [Final Score: 1.0000]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
   - Unnormalized (Vec/BM25/Rerank): 0.7418 / 9.4300 / 0.7652
   - Normalized (Vec/BM25/Rerank):   1.0000 / 1.0000 / 1.0000
X2. [Final Score: 0.0000] Callicarpa L. là một chi lớn, có nhiều loài, phân bố chủ yếu ở vùng nhiệt đới, cận nhiệt đới châu Á và một số đảo ở Thái Bình Dương. Ở Việt Nam, chi này có khoảng 20 loài.
   - Unnormalized (Vec/BM25/Rerank): 0.4710 / 0.0000 / 0.6628
   - Normalized (Vec/BM25/Rerank):   0.0000 / 0.0000 / 0.0000</t>
  </si>
  <si>
    <t>Callicarpa L. là một chi lớn, có nhiều loài, phân bố chủ yếu ở vùng nhiệt đới, cận nhiệt đới châu Á và một số đảo ở Thái Bình Dương. Ở Việt Nam, chi này có khoảng 20 loài. &lt;highlight&gt;Trên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xanh.&lt;/highlight&gt;</t>
  </si>
  <si>
    <t>Nàng nàng ra hoa quả nhiều hàng năm.</t>
  </si>
  <si>
    <t>From_highlight_EN_Answer</t>
  </si>
  <si>
    <t>From_highlight_EN_Avg-Score</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</si>
  <si>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</si>
  <si>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Cần dùng Atenolol thận trọng khi dùng đồng thời với thuốc gây mê do thuốc có thể gây giảm huyết áp mạnh, kéo dài và khó duy trì nhịp tim trong khi phẫu thuật.</t>
  </si>
  <si>
    <t>Trẻ trên 3 tháng tuổi.</t>
  </si>
  <si>
    <t>Cây ổi chứa các bộ phận của cây Ổi như lá, hoa và quả.</t>
  </si>
  <si>
    <t>Liều dùng thông thường của Tam thất là 0,9 – 4,5 g (không quá 9 g một ngày).</t>
  </si>
  <si>
    <t>Bạn cần đọc kĩ hướng dẫn sử dụng trên gói Oresol điện giải.</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</si>
  <si>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</si>
  <si>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Các chuyên viên vật lí trị liệu, âm ngữ trị liệu,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</si>
  <si>
    <t>Không, dây tơ hồng vàng không có khả năng quang hợp nên phải cây hút chất dinh dưỡng từ cây khác để tồn tại.</t>
  </si>
  <si>
    <t>Theo các mô hình học tập hành vi, một đứa trẻ sẽ là “nạn nhân” khi thấy các hành vi tình dục không phù hợp. Chúng có thể học cách bắt chước hoặc sau đó được củng cố hành vi đó.</t>
  </si>
  <si>
    <r>
      <t xml:space="preserve">Siêu âm bụng, X – quang, chụp X – quang dạ dày cản quang, chụp X – quang phổi, chụp cắt lớp vi tính </t>
    </r>
    <r>
      <rPr>
        <b/>
        <sz val="11"/>
        <color theme="1"/>
        <rFont val="Arial"/>
        <family val="2"/>
        <scheme val="minor"/>
      </rPr>
      <t>và chụp cắt lớp có tiêm kết hợp uống thuốc cản quang</t>
    </r>
    <r>
      <rPr>
        <sz val="11"/>
        <color theme="1"/>
        <rFont val="Arial"/>
        <family val="2"/>
        <scheme val="minor"/>
      </rPr>
      <t>.</t>
    </r>
  </si>
  <si>
    <t>Các nhận dạng thay thế trong rối loạn nhận dạng phân ly có chung đặc điểm là sự khác biệt rõ ràng về giọng nói, giới tính, phong cách và thậm chí cả những phẩm chất thể chất.</t>
  </si>
  <si>
    <t>Theo ước tính của hiệp hội Ung thư Hoa Kỳ, khối u não ác tính khá hiếm gặp.</t>
  </si>
  <si>
    <t>Dùng Cao hổ cốt không tuân thủ đúng hướng dẫn có thể gây ra các biến chứng như tăng huyết áp, đột quỵ, viêm gan, suy thận, bệnh tim…</t>
  </si>
  <si>
    <t>Có thể xóa đi sự phiền nhiễu khi đang cố gắng tập trung làm việc bằng cách viết suy nghĩ của mình ra, ghi lại suy nghĩ của mình sẽ giúp nhanh chóng xóa chúng đi và đảm bảo rằng bạn sẽ nhớ chúng sau này.</t>
  </si>
  <si>
    <t>Chỉ một tỷ lệ nhỏ bệnh nhân trào ngược dạ dày – thực quản diễn tiến thành Barrett. Tuy vậy, người bệnh cần phải theo dõi và kiểm tra thường xuyên các tế bào bất thường này, vì chúng cần được điều trị sớm trước khi hóa thành tế bào ung thư.</t>
  </si>
  <si>
    <t>Xạ trị toàn bộ não có thể được thực hiện kèm theo phẫu thuật để giảm sự lây lan ung thư.</t>
  </si>
  <si>
    <t>Ung thư ruột non xuất hiện tắc ruột trong 10% các trường hợp.</t>
  </si>
  <si>
    <t>Chẩn đoán chính xác u nhú thanh quản cần sử dụng sinh thiết, bao gồm xét nghiệm bằng kính hiển vi và xét nghiệm HPV trên một mẫu sinh thiết.</t>
  </si>
  <si>
    <t>Suy tim trái gây ra hậu quả là người bệnh bị suy giảm lượng máu bơm đi nuôi cơ thể trong một phút và/hoặc sung huyết phổi (ứ máu ở hệ tuần hoàn phổi).</t>
  </si>
  <si>
    <t>Ong đen có tên gọi là Trúc phong vì nó là con ong sống trong đốt tre cho nên có tên như vậy.</t>
  </si>
  <si>
    <t>Khi ho, đau đầu thường do nguyên nhân do ho và các loại căng thẳng, ví dụ như từ việc hắt hơi, hỉ mũi, cười, khóc, hát, cúi xuống hoặc đi tiêu.</t>
  </si>
  <si>
    <t>U xơ tử cung thường gây ra các triệu chứng như chảy máu bất thường và đau khi quan hệ, hay đau âm ỉ bụng dưới.</t>
  </si>
  <si>
    <t>Cơ thể mỗi người có 3 cặp tuyến nước bọt chính là: tuyến dưới hàm, tuyến mang tai, tuyến dưới lưỡi.</t>
  </si>
  <si>
    <t>Tình trạng dư thừa gastrin có thể gây ra hậu quả loét dạ dày – tá tràng, thủng dạ dày và tế bào ung thư gastrinoma có khả năng ác tính cao.</t>
  </si>
  <si>
    <t>Binh lang có đặc điểm kỵ lửa, vì vậy không nên sao chín vì có thể làm giảm tác dụng chữa bệnh của dược liệu.</t>
  </si>
  <si>
    <t>Hạ khô thảo dễ mọc tự nhiên ở các vùng có độ cao 1.000 – 1.500m so với mực nước biển. Cây mọc tốt nhất trong môi trường ẩm ướt, mưa nhiều, nhiệt độ tầm 15 – 18°C.</t>
  </si>
  <si>
    <r>
      <t xml:space="preserve">Cơ thể mỗi người có </t>
    </r>
    <r>
      <rPr>
        <b/>
        <sz val="11"/>
        <color theme="1"/>
        <rFont val="Arial"/>
        <family val="2"/>
        <scheme val="minor"/>
      </rPr>
      <t>3 cặp tuyến nước bọt chính là tuyến dưới hàm, tuyến mang tai, tuyến dưới lưỡi.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</si>
</sst>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1"/>
      <name val="Arial"/>
    </font>
    <font>
      <sz val="11"/>
      <color rgb="FFFF0000"/>
      <name val="Arial"/>
      <family val="2"/>
      <scheme val="minor"/>
    </font>
    <font>
      <b/>
      <sz val="11"/>
      <color theme="1"/>
      <name val="Arial"/>
      <family val="2"/>
      <scheme val="minor"/>
    </font>
    <font>
      <b/>
      <sz val="11"/>
      <name val="Arial"/>
      <family val="2"/>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4" fillId="0" borderId="1" xfId="0" applyFont="1" applyBorder="1" applyAlignment="1">
      <alignment horizontal="center" vertical="top"/>
    </xf>
    <xf numFmtId="0" fontId="2" fillId="2" borderId="0" xfId="0" applyFont="1" applyFill="1"/>
    <xf numFmtId="0" fontId="0" fillId="2" borderId="0" xfId="0" applyFill="1"/>
    <xf numFmtId="0" fontId="0" fillId="3" borderId="0" xfId="0" applyFill="1"/>
    <xf numFmtId="0" fontId="0" fillId="4" borderId="0" xfId="0" applyFill="1"/>
    <xf numFmtId="0" fontId="0" fillId="4"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52"/>
  <sheetViews>
    <sheetView tabSelected="1" topLeftCell="G16" zoomScale="184" zoomScaleNormal="184" workbookViewId="0">
      <selection activeCell="L52" sqref="L52"/>
    </sheetView>
  </sheetViews>
  <sheetFormatPr defaultRowHeight="14" x14ac:dyDescent="0.3"/>
  <cols>
    <col min="7" max="7" width="71.33203125" customWidth="1"/>
  </cols>
  <sheetData>
    <row r="1" spans="1:19" x14ac:dyDescent="0.3">
      <c r="A1" s="1" t="s">
        <v>0</v>
      </c>
      <c r="B1" s="1" t="s">
        <v>1</v>
      </c>
      <c r="C1" s="1" t="s">
        <v>2</v>
      </c>
      <c r="D1" s="1" t="s">
        <v>3</v>
      </c>
      <c r="E1" s="1" t="s">
        <v>4</v>
      </c>
      <c r="F1" s="1" t="s">
        <v>5</v>
      </c>
      <c r="G1" s="1" t="s">
        <v>6</v>
      </c>
      <c r="H1" s="2" t="s">
        <v>7</v>
      </c>
      <c r="I1" s="1" t="s">
        <v>8</v>
      </c>
      <c r="J1" s="1" t="s">
        <v>9</v>
      </c>
      <c r="K1" s="2" t="s">
        <v>10</v>
      </c>
      <c r="L1" s="1" t="s">
        <v>11</v>
      </c>
      <c r="M1" s="1" t="s">
        <v>12</v>
      </c>
      <c r="N1" s="1" t="s">
        <v>13</v>
      </c>
      <c r="O1" s="1" t="s">
        <v>14</v>
      </c>
      <c r="Q1" s="2" t="s">
        <v>290</v>
      </c>
      <c r="R1" s="2" t="s">
        <v>291</v>
      </c>
    </row>
    <row r="2" spans="1:19" hidden="1" x14ac:dyDescent="0.3">
      <c r="A2">
        <v>0</v>
      </c>
      <c r="B2">
        <v>883</v>
      </c>
      <c r="C2" t="s">
        <v>15</v>
      </c>
      <c r="D2" t="s">
        <v>16</v>
      </c>
      <c r="E2" t="s">
        <v>17</v>
      </c>
      <c r="F2" t="s">
        <v>18</v>
      </c>
      <c r="G2" t="s">
        <v>19</v>
      </c>
      <c r="H2" t="s">
        <v>20</v>
      </c>
      <c r="I2" t="s">
        <v>21</v>
      </c>
      <c r="J2" t="s">
        <v>21</v>
      </c>
      <c r="K2">
        <v>1</v>
      </c>
      <c r="L2">
        <v>1</v>
      </c>
      <c r="M2">
        <v>1</v>
      </c>
      <c r="N2">
        <v>0.99990000000000001</v>
      </c>
      <c r="O2">
        <v>1</v>
      </c>
      <c r="Q2" t="s">
        <v>21</v>
      </c>
      <c r="R2">
        <v>1</v>
      </c>
      <c r="S2">
        <f>K2-R2</f>
        <v>0</v>
      </c>
    </row>
    <row r="3" spans="1:19" s="6" customFormat="1" ht="196" x14ac:dyDescent="0.3">
      <c r="A3" s="6">
        <v>43</v>
      </c>
      <c r="B3" s="6">
        <v>905</v>
      </c>
      <c r="C3" s="6" t="s">
        <v>15</v>
      </c>
      <c r="D3" s="6" t="s">
        <v>16</v>
      </c>
      <c r="E3" s="6" t="s">
        <v>252</v>
      </c>
      <c r="F3" s="6" t="s">
        <v>253</v>
      </c>
      <c r="G3" s="7" t="s">
        <v>254</v>
      </c>
      <c r="H3" s="6" t="s">
        <v>255</v>
      </c>
      <c r="I3" s="6" t="s">
        <v>319</v>
      </c>
      <c r="J3" s="6" t="s">
        <v>256</v>
      </c>
      <c r="K3" s="6">
        <v>0.60060000000000002</v>
      </c>
      <c r="L3" s="6">
        <v>0.67920000000000003</v>
      </c>
      <c r="M3" s="6">
        <v>0.3397</v>
      </c>
      <c r="N3" s="6">
        <v>0.51659999999999995</v>
      </c>
      <c r="O3" s="6">
        <v>0.86709999999999998</v>
      </c>
      <c r="Q3" s="6" t="s">
        <v>315</v>
      </c>
      <c r="R3" s="6">
        <v>0.96740000000000004</v>
      </c>
      <c r="S3" s="6">
        <f>K3-R3</f>
        <v>-0.36680000000000001</v>
      </c>
    </row>
    <row r="4" spans="1:19" hidden="1" x14ac:dyDescent="0.3">
      <c r="A4">
        <v>2</v>
      </c>
      <c r="B4">
        <v>57</v>
      </c>
      <c r="C4" t="s">
        <v>15</v>
      </c>
      <c r="D4" t="s">
        <v>16</v>
      </c>
      <c r="E4" t="s">
        <v>27</v>
      </c>
      <c r="F4" t="s">
        <v>28</v>
      </c>
      <c r="G4" t="s">
        <v>29</v>
      </c>
      <c r="H4" t="s">
        <v>28</v>
      </c>
      <c r="I4" t="s">
        <v>30</v>
      </c>
      <c r="J4" t="s">
        <v>31</v>
      </c>
      <c r="K4">
        <v>0.66349999999999998</v>
      </c>
      <c r="L4">
        <v>0.75470000000000004</v>
      </c>
      <c r="M4">
        <v>0.39689999999999998</v>
      </c>
      <c r="N4">
        <v>0.57940000000000003</v>
      </c>
      <c r="O4">
        <v>0.92300000000000004</v>
      </c>
      <c r="Q4" t="s">
        <v>31</v>
      </c>
      <c r="R4">
        <v>0.66349999999999998</v>
      </c>
      <c r="S4">
        <f>K4-R4</f>
        <v>0</v>
      </c>
    </row>
    <row r="5" spans="1:19" x14ac:dyDescent="0.3">
      <c r="A5">
        <v>47</v>
      </c>
      <c r="B5">
        <v>181</v>
      </c>
      <c r="C5" t="s">
        <v>15</v>
      </c>
      <c r="D5" t="s">
        <v>16</v>
      </c>
      <c r="E5" t="s">
        <v>274</v>
      </c>
      <c r="F5" t="s">
        <v>275</v>
      </c>
      <c r="G5" t="s">
        <v>276</v>
      </c>
      <c r="H5" t="s">
        <v>275</v>
      </c>
      <c r="I5" t="s">
        <v>277</v>
      </c>
      <c r="J5" t="s">
        <v>278</v>
      </c>
      <c r="K5">
        <v>0.64019999999999999</v>
      </c>
      <c r="L5">
        <v>0.68830000000000002</v>
      </c>
      <c r="M5">
        <v>0.43459999999999999</v>
      </c>
      <c r="N5">
        <v>0.55840000000000001</v>
      </c>
      <c r="O5">
        <v>0.87970000000000004</v>
      </c>
      <c r="Q5" t="s">
        <v>277</v>
      </c>
      <c r="R5">
        <v>1</v>
      </c>
      <c r="S5">
        <f>K5-R5</f>
        <v>-0.35980000000000001</v>
      </c>
    </row>
    <row r="6" spans="1:19" x14ac:dyDescent="0.3">
      <c r="A6">
        <v>33</v>
      </c>
      <c r="B6">
        <v>922</v>
      </c>
      <c r="C6" t="s">
        <v>15</v>
      </c>
      <c r="D6" t="s">
        <v>16</v>
      </c>
      <c r="E6" t="s">
        <v>197</v>
      </c>
      <c r="F6" t="s">
        <v>198</v>
      </c>
      <c r="G6" t="s">
        <v>199</v>
      </c>
      <c r="H6" t="s">
        <v>200</v>
      </c>
      <c r="I6" t="s">
        <v>201</v>
      </c>
      <c r="J6" t="s">
        <v>202</v>
      </c>
      <c r="K6">
        <v>0.47370000000000001</v>
      </c>
      <c r="L6">
        <v>0.52780000000000005</v>
      </c>
      <c r="M6">
        <v>0.1321</v>
      </c>
      <c r="N6">
        <v>0.3906</v>
      </c>
      <c r="O6">
        <v>0.84440000000000004</v>
      </c>
      <c r="Q6" t="s">
        <v>310</v>
      </c>
      <c r="R6">
        <v>0.81499999999999995</v>
      </c>
      <c r="S6">
        <f>K6-R6</f>
        <v>-0.34129999999999994</v>
      </c>
    </row>
    <row r="7" spans="1:19" x14ac:dyDescent="0.3">
      <c r="A7">
        <v>16</v>
      </c>
      <c r="B7">
        <v>621</v>
      </c>
      <c r="C7" t="s">
        <v>15</v>
      </c>
      <c r="D7" t="s">
        <v>16</v>
      </c>
      <c r="E7" t="s">
        <v>100</v>
      </c>
      <c r="F7" t="s">
        <v>101</v>
      </c>
      <c r="G7" t="s">
        <v>102</v>
      </c>
      <c r="H7" t="s">
        <v>101</v>
      </c>
      <c r="I7" t="s">
        <v>103</v>
      </c>
      <c r="J7" t="s">
        <v>104</v>
      </c>
      <c r="K7">
        <v>0.52210000000000001</v>
      </c>
      <c r="L7">
        <v>0.56599999999999995</v>
      </c>
      <c r="M7">
        <v>0.2155</v>
      </c>
      <c r="N7">
        <v>0.4748</v>
      </c>
      <c r="O7">
        <v>0.83209999999999995</v>
      </c>
      <c r="Q7" t="s">
        <v>302</v>
      </c>
      <c r="R7">
        <v>0.83440000000000003</v>
      </c>
      <c r="S7">
        <f>K7-R7</f>
        <v>-0.31230000000000002</v>
      </c>
    </row>
    <row r="8" spans="1:19" hidden="1" x14ac:dyDescent="0.3">
      <c r="A8">
        <v>6</v>
      </c>
      <c r="B8">
        <v>855</v>
      </c>
      <c r="C8" t="s">
        <v>15</v>
      </c>
      <c r="D8" t="s">
        <v>16</v>
      </c>
      <c r="E8" t="s">
        <v>48</v>
      </c>
      <c r="F8" t="s">
        <v>49</v>
      </c>
      <c r="G8" t="s">
        <v>50</v>
      </c>
      <c r="H8" t="s">
        <v>51</v>
      </c>
      <c r="I8" t="s">
        <v>52</v>
      </c>
      <c r="J8" t="s">
        <v>53</v>
      </c>
      <c r="K8">
        <v>0.94279999999999997</v>
      </c>
      <c r="L8">
        <v>0.97560000000000002</v>
      </c>
      <c r="M8">
        <v>0.87090000000000001</v>
      </c>
      <c r="N8">
        <v>0.93410000000000004</v>
      </c>
      <c r="O8">
        <v>0.99060000000000004</v>
      </c>
      <c r="Q8" t="s">
        <v>53</v>
      </c>
      <c r="R8">
        <v>0.94279999999999997</v>
      </c>
      <c r="S8">
        <f>K8-R8</f>
        <v>0</v>
      </c>
    </row>
    <row r="9" spans="1:19" x14ac:dyDescent="0.3">
      <c r="A9">
        <v>20</v>
      </c>
      <c r="B9">
        <v>162</v>
      </c>
      <c r="C9" t="s">
        <v>15</v>
      </c>
      <c r="D9" t="s">
        <v>16</v>
      </c>
      <c r="E9" t="s">
        <v>122</v>
      </c>
      <c r="F9" t="s">
        <v>123</v>
      </c>
      <c r="G9" t="s">
        <v>124</v>
      </c>
      <c r="H9" t="s">
        <v>125</v>
      </c>
      <c r="I9" t="s">
        <v>126</v>
      </c>
      <c r="J9" t="s">
        <v>127</v>
      </c>
      <c r="K9">
        <v>0.5081</v>
      </c>
      <c r="L9">
        <v>0.42859999999999998</v>
      </c>
      <c r="M9">
        <v>0.17219999999999999</v>
      </c>
      <c r="N9">
        <v>0.66810000000000003</v>
      </c>
      <c r="O9">
        <v>0.76359999999999995</v>
      </c>
      <c r="Q9" t="s">
        <v>305</v>
      </c>
      <c r="R9">
        <v>0.69210000000000005</v>
      </c>
      <c r="S9">
        <f>K9-R9</f>
        <v>-0.18400000000000005</v>
      </c>
    </row>
    <row r="10" spans="1:19" x14ac:dyDescent="0.3">
      <c r="A10">
        <v>25</v>
      </c>
      <c r="B10">
        <v>740</v>
      </c>
      <c r="C10" t="s">
        <v>15</v>
      </c>
      <c r="D10" t="s">
        <v>16</v>
      </c>
      <c r="E10" t="s">
        <v>150</v>
      </c>
      <c r="F10" t="s">
        <v>151</v>
      </c>
      <c r="G10" t="s">
        <v>152</v>
      </c>
      <c r="H10" t="s">
        <v>153</v>
      </c>
      <c r="I10" t="s">
        <v>154</v>
      </c>
      <c r="J10" t="s">
        <v>155</v>
      </c>
      <c r="K10">
        <v>0.82099999999999995</v>
      </c>
      <c r="L10">
        <v>0.8911</v>
      </c>
      <c r="M10">
        <v>0.55300000000000005</v>
      </c>
      <c r="N10">
        <v>0.93559999999999999</v>
      </c>
      <c r="O10">
        <v>0.9042</v>
      </c>
      <c r="Q10" t="s">
        <v>154</v>
      </c>
      <c r="R10">
        <v>1</v>
      </c>
      <c r="S10">
        <f>K10-R10</f>
        <v>-0.17900000000000005</v>
      </c>
    </row>
    <row r="11" spans="1:19" x14ac:dyDescent="0.3">
      <c r="A11">
        <v>23</v>
      </c>
      <c r="B11">
        <v>402</v>
      </c>
      <c r="C11" t="s">
        <v>15</v>
      </c>
      <c r="D11" t="s">
        <v>16</v>
      </c>
      <c r="E11" t="s">
        <v>139</v>
      </c>
      <c r="F11" t="s">
        <v>140</v>
      </c>
      <c r="G11" t="s">
        <v>141</v>
      </c>
      <c r="H11" t="s">
        <v>142</v>
      </c>
      <c r="I11" t="s">
        <v>143</v>
      </c>
      <c r="J11" t="s">
        <v>144</v>
      </c>
      <c r="K11">
        <v>0.82479999999999998</v>
      </c>
      <c r="L11">
        <v>0.8276</v>
      </c>
      <c r="M11">
        <v>0.63829999999999998</v>
      </c>
      <c r="N11">
        <v>0.91359999999999997</v>
      </c>
      <c r="O11">
        <v>0.91959999999999997</v>
      </c>
      <c r="Q11" t="s">
        <v>143</v>
      </c>
      <c r="R11">
        <v>1</v>
      </c>
      <c r="S11">
        <f>K11-R11</f>
        <v>-0.17520000000000002</v>
      </c>
    </row>
    <row r="12" spans="1:19" hidden="1" x14ac:dyDescent="0.3">
      <c r="A12">
        <v>10</v>
      </c>
      <c r="B12">
        <v>685</v>
      </c>
      <c r="C12" t="s">
        <v>15</v>
      </c>
      <c r="D12" t="s">
        <v>16</v>
      </c>
      <c r="E12" t="s">
        <v>69</v>
      </c>
      <c r="F12" t="s">
        <v>70</v>
      </c>
      <c r="G12" t="s">
        <v>71</v>
      </c>
      <c r="H12" t="s">
        <v>70</v>
      </c>
      <c r="I12" t="s">
        <v>72</v>
      </c>
      <c r="J12" t="s">
        <v>73</v>
      </c>
      <c r="K12">
        <v>0.65090000000000003</v>
      </c>
      <c r="L12">
        <v>0.68659999999999999</v>
      </c>
      <c r="M12">
        <v>0.42299999999999999</v>
      </c>
      <c r="N12">
        <v>0.57589999999999997</v>
      </c>
      <c r="O12">
        <v>0.91810000000000003</v>
      </c>
      <c r="Q12" t="s">
        <v>73</v>
      </c>
      <c r="R12">
        <v>0.65090000000000003</v>
      </c>
      <c r="S12">
        <f>K12-R12</f>
        <v>0</v>
      </c>
    </row>
    <row r="13" spans="1:19" x14ac:dyDescent="0.3">
      <c r="A13">
        <v>11</v>
      </c>
      <c r="B13">
        <v>874</v>
      </c>
      <c r="C13" t="s">
        <v>15</v>
      </c>
      <c r="D13" t="s">
        <v>16</v>
      </c>
      <c r="E13" t="s">
        <v>74</v>
      </c>
      <c r="F13" t="s">
        <v>75</v>
      </c>
      <c r="G13" t="s">
        <v>76</v>
      </c>
      <c r="H13" t="s">
        <v>75</v>
      </c>
      <c r="I13" t="s">
        <v>77</v>
      </c>
      <c r="J13" t="s">
        <v>78</v>
      </c>
      <c r="K13">
        <v>0.36770000000000003</v>
      </c>
      <c r="L13">
        <v>0.42109999999999997</v>
      </c>
      <c r="M13">
        <v>7.0499999999999993E-2</v>
      </c>
      <c r="N13">
        <v>0.19889999999999999</v>
      </c>
      <c r="O13">
        <v>0.78029999999999999</v>
      </c>
      <c r="Q13" t="s">
        <v>299</v>
      </c>
      <c r="R13">
        <v>0.52900000000000003</v>
      </c>
      <c r="S13">
        <f>K13-R13</f>
        <v>-0.1613</v>
      </c>
    </row>
    <row r="14" spans="1:19" x14ac:dyDescent="0.3">
      <c r="A14">
        <v>45</v>
      </c>
      <c r="B14">
        <v>168</v>
      </c>
      <c r="C14" t="s">
        <v>15</v>
      </c>
      <c r="D14" t="s">
        <v>16</v>
      </c>
      <c r="E14" t="s">
        <v>263</v>
      </c>
      <c r="F14" t="s">
        <v>264</v>
      </c>
      <c r="G14" t="s">
        <v>265</v>
      </c>
      <c r="H14" t="s">
        <v>264</v>
      </c>
      <c r="I14" t="s">
        <v>266</v>
      </c>
      <c r="J14" t="s">
        <v>267</v>
      </c>
      <c r="K14">
        <v>0.77549999999999997</v>
      </c>
      <c r="L14">
        <v>0.77329999999999999</v>
      </c>
      <c r="M14">
        <v>0.65339999999999998</v>
      </c>
      <c r="N14">
        <v>0.78680000000000005</v>
      </c>
      <c r="O14">
        <v>0.88859999999999995</v>
      </c>
      <c r="Q14" t="s">
        <v>317</v>
      </c>
      <c r="R14">
        <v>0.88</v>
      </c>
      <c r="S14">
        <f>K14-R14</f>
        <v>-0.10450000000000004</v>
      </c>
    </row>
    <row r="15" spans="1:19" x14ac:dyDescent="0.3">
      <c r="A15">
        <v>24</v>
      </c>
      <c r="B15">
        <v>822</v>
      </c>
      <c r="C15" t="s">
        <v>15</v>
      </c>
      <c r="D15" t="s">
        <v>16</v>
      </c>
      <c r="E15" t="s">
        <v>145</v>
      </c>
      <c r="F15" t="s">
        <v>146</v>
      </c>
      <c r="G15" t="s">
        <v>147</v>
      </c>
      <c r="H15" t="s">
        <v>146</v>
      </c>
      <c r="I15" t="s">
        <v>148</v>
      </c>
      <c r="J15" t="s">
        <v>149</v>
      </c>
      <c r="K15">
        <v>0.6159</v>
      </c>
      <c r="L15">
        <v>0.52329999999999999</v>
      </c>
      <c r="M15">
        <v>0.28670000000000001</v>
      </c>
      <c r="N15">
        <v>0.84079999999999999</v>
      </c>
      <c r="O15">
        <v>0.81279999999999997</v>
      </c>
      <c r="Q15" t="s">
        <v>307</v>
      </c>
      <c r="R15">
        <v>0.71099999999999997</v>
      </c>
      <c r="S15">
        <f>K15-R15</f>
        <v>-9.5099999999999962E-2</v>
      </c>
    </row>
    <row r="16" spans="1:19" x14ac:dyDescent="0.3">
      <c r="A16">
        <v>39</v>
      </c>
      <c r="B16">
        <v>929</v>
      </c>
      <c r="C16" t="s">
        <v>15</v>
      </c>
      <c r="D16" t="s">
        <v>16</v>
      </c>
      <c r="E16" t="s">
        <v>232</v>
      </c>
      <c r="F16" t="s">
        <v>233</v>
      </c>
      <c r="G16" t="s">
        <v>234</v>
      </c>
      <c r="H16" t="s">
        <v>233</v>
      </c>
      <c r="I16" t="s">
        <v>235</v>
      </c>
      <c r="J16" t="s">
        <v>236</v>
      </c>
      <c r="K16">
        <v>0.41909999999999997</v>
      </c>
      <c r="L16">
        <v>0.46150000000000002</v>
      </c>
      <c r="M16">
        <v>0</v>
      </c>
      <c r="N16">
        <v>0.40870000000000001</v>
      </c>
      <c r="O16">
        <v>0.80630000000000002</v>
      </c>
      <c r="Q16" s="4" t="s">
        <v>313</v>
      </c>
      <c r="R16" s="4">
        <v>0.50670000000000004</v>
      </c>
      <c r="S16">
        <f>K16-R16</f>
        <v>-8.7600000000000067E-2</v>
      </c>
    </row>
    <row r="17" spans="1:19" hidden="1" x14ac:dyDescent="0.3">
      <c r="A17">
        <v>15</v>
      </c>
      <c r="B17">
        <v>217</v>
      </c>
      <c r="C17" t="s">
        <v>15</v>
      </c>
      <c r="D17" t="s">
        <v>16</v>
      </c>
      <c r="E17" t="s">
        <v>96</v>
      </c>
      <c r="F17" t="s">
        <v>97</v>
      </c>
      <c r="G17" t="s">
        <v>98</v>
      </c>
      <c r="H17" t="s">
        <v>97</v>
      </c>
      <c r="I17" t="s">
        <v>99</v>
      </c>
      <c r="J17" t="s">
        <v>99</v>
      </c>
      <c r="K17">
        <v>1</v>
      </c>
      <c r="L17">
        <v>1</v>
      </c>
      <c r="M17">
        <v>1</v>
      </c>
      <c r="N17">
        <v>0.99990000000000001</v>
      </c>
      <c r="O17">
        <v>1</v>
      </c>
      <c r="Q17" t="s">
        <v>99</v>
      </c>
      <c r="R17">
        <v>1</v>
      </c>
      <c r="S17">
        <f>K17-R17</f>
        <v>0</v>
      </c>
    </row>
    <row r="18" spans="1:19" x14ac:dyDescent="0.3">
      <c r="A18">
        <v>44</v>
      </c>
      <c r="B18">
        <v>538</v>
      </c>
      <c r="C18" t="s">
        <v>15</v>
      </c>
      <c r="D18" t="s">
        <v>16</v>
      </c>
      <c r="E18" t="s">
        <v>257</v>
      </c>
      <c r="F18" t="s">
        <v>258</v>
      </c>
      <c r="G18" t="s">
        <v>259</v>
      </c>
      <c r="H18" t="s">
        <v>260</v>
      </c>
      <c r="I18" t="s">
        <v>261</v>
      </c>
      <c r="J18" t="s">
        <v>262</v>
      </c>
      <c r="K18">
        <v>0.48820000000000002</v>
      </c>
      <c r="L18">
        <v>0.5</v>
      </c>
      <c r="M18">
        <v>0.20810000000000001</v>
      </c>
      <c r="N18">
        <v>0.3931</v>
      </c>
      <c r="O18">
        <v>0.85140000000000005</v>
      </c>
      <c r="Q18" t="s">
        <v>316</v>
      </c>
      <c r="R18">
        <v>0.56889999999999996</v>
      </c>
      <c r="S18">
        <f>K18-R18</f>
        <v>-8.0699999999999938E-2</v>
      </c>
    </row>
    <row r="19" spans="1:19" hidden="1" x14ac:dyDescent="0.3">
      <c r="A19">
        <v>17</v>
      </c>
      <c r="B19">
        <v>36</v>
      </c>
      <c r="C19" t="s">
        <v>15</v>
      </c>
      <c r="D19" t="s">
        <v>16</v>
      </c>
      <c r="E19" t="s">
        <v>105</v>
      </c>
      <c r="F19" t="s">
        <v>106</v>
      </c>
      <c r="G19" t="s">
        <v>107</v>
      </c>
      <c r="H19" t="s">
        <v>106</v>
      </c>
      <c r="I19" t="s">
        <v>108</v>
      </c>
      <c r="J19" t="s">
        <v>109</v>
      </c>
      <c r="K19">
        <v>0.76729999999999998</v>
      </c>
      <c r="L19">
        <v>0.77880000000000005</v>
      </c>
      <c r="M19">
        <v>0.53290000000000004</v>
      </c>
      <c r="N19">
        <v>0.83560000000000001</v>
      </c>
      <c r="O19">
        <v>0.92200000000000004</v>
      </c>
      <c r="Q19" t="s">
        <v>109</v>
      </c>
      <c r="R19">
        <v>0.76729999999999998</v>
      </c>
      <c r="S19">
        <f>K19-R19</f>
        <v>0</v>
      </c>
    </row>
    <row r="20" spans="1:19" x14ac:dyDescent="0.3">
      <c r="A20">
        <v>40</v>
      </c>
      <c r="B20">
        <v>389</v>
      </c>
      <c r="C20" t="s">
        <v>15</v>
      </c>
      <c r="D20" t="s">
        <v>16</v>
      </c>
      <c r="E20" t="s">
        <v>237</v>
      </c>
      <c r="F20" t="s">
        <v>238</v>
      </c>
      <c r="G20" t="s">
        <v>239</v>
      </c>
      <c r="H20" t="s">
        <v>240</v>
      </c>
      <c r="I20" t="s">
        <v>241</v>
      </c>
      <c r="J20" t="s">
        <v>242</v>
      </c>
      <c r="K20">
        <v>0.66379999999999995</v>
      </c>
      <c r="L20">
        <v>0.72340000000000004</v>
      </c>
      <c r="M20">
        <v>0.434</v>
      </c>
      <c r="N20">
        <v>0.62539999999999996</v>
      </c>
      <c r="O20">
        <v>0.87239999999999995</v>
      </c>
      <c r="Q20" t="s">
        <v>314</v>
      </c>
      <c r="R20">
        <v>0.72760000000000002</v>
      </c>
      <c r="S20">
        <f>K20-R20</f>
        <v>-6.3800000000000079E-2</v>
      </c>
    </row>
    <row r="21" spans="1:19" x14ac:dyDescent="0.3">
      <c r="A21">
        <v>31</v>
      </c>
      <c r="B21">
        <v>514</v>
      </c>
      <c r="C21" t="s">
        <v>15</v>
      </c>
      <c r="D21" t="s">
        <v>16</v>
      </c>
      <c r="E21" t="s">
        <v>185</v>
      </c>
      <c r="F21" t="s">
        <v>186</v>
      </c>
      <c r="G21" t="s">
        <v>187</v>
      </c>
      <c r="H21" t="s">
        <v>188</v>
      </c>
      <c r="I21" t="s">
        <v>189</v>
      </c>
      <c r="J21" t="s">
        <v>190</v>
      </c>
      <c r="K21">
        <v>0.9395</v>
      </c>
      <c r="L21">
        <v>0.93330000000000002</v>
      </c>
      <c r="M21">
        <v>0.87870000000000004</v>
      </c>
      <c r="N21">
        <v>0.95620000000000005</v>
      </c>
      <c r="O21">
        <v>0.98970000000000002</v>
      </c>
      <c r="Q21" t="s">
        <v>189</v>
      </c>
      <c r="R21">
        <v>1</v>
      </c>
      <c r="S21">
        <f>K21-R21</f>
        <v>-6.0499999999999998E-2</v>
      </c>
    </row>
    <row r="22" spans="1:19" x14ac:dyDescent="0.3">
      <c r="A22">
        <v>14</v>
      </c>
      <c r="B22">
        <v>620</v>
      </c>
      <c r="C22" t="s">
        <v>15</v>
      </c>
      <c r="D22" t="s">
        <v>16</v>
      </c>
      <c r="E22" t="s">
        <v>90</v>
      </c>
      <c r="F22" t="s">
        <v>91</v>
      </c>
      <c r="G22" t="s">
        <v>92</v>
      </c>
      <c r="H22" t="s">
        <v>93</v>
      </c>
      <c r="I22" t="s">
        <v>94</v>
      </c>
      <c r="J22" t="s">
        <v>95</v>
      </c>
      <c r="K22">
        <v>0.90559999999999996</v>
      </c>
      <c r="L22">
        <v>0.9365</v>
      </c>
      <c r="M22">
        <v>0.81269999999999998</v>
      </c>
      <c r="N22">
        <v>0.91420000000000001</v>
      </c>
      <c r="O22">
        <v>0.95889999999999997</v>
      </c>
      <c r="Q22" t="s">
        <v>301</v>
      </c>
      <c r="R22">
        <v>0.9395</v>
      </c>
      <c r="S22">
        <f>K22-R22</f>
        <v>-3.3900000000000041E-2</v>
      </c>
    </row>
    <row r="23" spans="1:19" hidden="1" x14ac:dyDescent="0.3">
      <c r="A23">
        <v>21</v>
      </c>
      <c r="B23">
        <v>441</v>
      </c>
      <c r="C23" t="s">
        <v>15</v>
      </c>
      <c r="D23" t="s">
        <v>16</v>
      </c>
      <c r="E23" t="s">
        <v>128</v>
      </c>
      <c r="F23" t="s">
        <v>129</v>
      </c>
      <c r="G23" t="s">
        <v>130</v>
      </c>
      <c r="H23" t="s">
        <v>131</v>
      </c>
      <c r="I23" t="s">
        <v>132</v>
      </c>
      <c r="J23" t="s">
        <v>133</v>
      </c>
      <c r="K23">
        <v>0.50129999999999997</v>
      </c>
      <c r="L23">
        <v>0.375</v>
      </c>
      <c r="M23">
        <v>0</v>
      </c>
      <c r="N23">
        <v>0.81789999999999996</v>
      </c>
      <c r="O23">
        <v>0.81230000000000002</v>
      </c>
      <c r="Q23" t="s">
        <v>133</v>
      </c>
      <c r="R23">
        <v>0.50129999999999997</v>
      </c>
      <c r="S23">
        <f>K23-R23</f>
        <v>0</v>
      </c>
    </row>
    <row r="24" spans="1:19" x14ac:dyDescent="0.3">
      <c r="A24">
        <v>34</v>
      </c>
      <c r="B24">
        <v>891</v>
      </c>
      <c r="C24" t="s">
        <v>15</v>
      </c>
      <c r="D24" t="s">
        <v>16</v>
      </c>
      <c r="E24" t="s">
        <v>203</v>
      </c>
      <c r="F24" t="s">
        <v>204</v>
      </c>
      <c r="G24" t="s">
        <v>205</v>
      </c>
      <c r="H24" t="s">
        <v>206</v>
      </c>
      <c r="I24" t="s">
        <v>207</v>
      </c>
      <c r="J24" t="s">
        <v>208</v>
      </c>
      <c r="K24">
        <v>0.35799999999999998</v>
      </c>
      <c r="L24">
        <v>0.42720000000000002</v>
      </c>
      <c r="M24">
        <v>8.1299999999999997E-2</v>
      </c>
      <c r="N24">
        <v>0.18149999999999999</v>
      </c>
      <c r="O24">
        <v>0.74180000000000001</v>
      </c>
      <c r="Q24" t="s">
        <v>311</v>
      </c>
      <c r="R24">
        <v>0.38990000000000002</v>
      </c>
      <c r="S24">
        <f>K24-R24</f>
        <v>-3.1900000000000039E-2</v>
      </c>
    </row>
    <row r="25" spans="1:19" x14ac:dyDescent="0.3">
      <c r="A25">
        <v>12</v>
      </c>
      <c r="B25">
        <v>315</v>
      </c>
      <c r="C25" t="s">
        <v>15</v>
      </c>
      <c r="D25" t="s">
        <v>16</v>
      </c>
      <c r="E25" t="s">
        <v>79</v>
      </c>
      <c r="F25" t="s">
        <v>80</v>
      </c>
      <c r="G25" t="s">
        <v>81</v>
      </c>
      <c r="H25" t="s">
        <v>82</v>
      </c>
      <c r="I25" t="s">
        <v>83</v>
      </c>
      <c r="J25" t="s">
        <v>84</v>
      </c>
      <c r="K25">
        <v>0.97250000000000003</v>
      </c>
      <c r="L25">
        <v>0.98360000000000003</v>
      </c>
      <c r="M25">
        <v>0.92030000000000001</v>
      </c>
      <c r="N25">
        <v>0.99509999999999998</v>
      </c>
      <c r="O25">
        <v>0.99099999999999999</v>
      </c>
      <c r="Q25" t="s">
        <v>83</v>
      </c>
      <c r="R25">
        <v>1</v>
      </c>
      <c r="S25">
        <f>K25-R25</f>
        <v>-2.7499999999999969E-2</v>
      </c>
    </row>
    <row r="26" spans="1:19" x14ac:dyDescent="0.3">
      <c r="A26">
        <v>3</v>
      </c>
      <c r="B26">
        <v>93</v>
      </c>
      <c r="C26" t="s">
        <v>15</v>
      </c>
      <c r="D26" t="s">
        <v>16</v>
      </c>
      <c r="E26" t="s">
        <v>32</v>
      </c>
      <c r="F26" t="s">
        <v>33</v>
      </c>
      <c r="G26" t="s">
        <v>34</v>
      </c>
      <c r="H26" t="s">
        <v>33</v>
      </c>
      <c r="I26" t="s">
        <v>35</v>
      </c>
      <c r="J26" t="s">
        <v>36</v>
      </c>
      <c r="K26">
        <v>0.89800000000000002</v>
      </c>
      <c r="L26">
        <v>0.91259999999999997</v>
      </c>
      <c r="M26">
        <v>0.78110000000000002</v>
      </c>
      <c r="N26">
        <v>0.93569999999999998</v>
      </c>
      <c r="O26">
        <v>0.96250000000000002</v>
      </c>
      <c r="Q26" t="s">
        <v>293</v>
      </c>
      <c r="R26">
        <v>0.92369999999999997</v>
      </c>
      <c r="S26">
        <f>K26-R26</f>
        <v>-2.5699999999999945E-2</v>
      </c>
    </row>
    <row r="27" spans="1:19" x14ac:dyDescent="0.3">
      <c r="A27">
        <v>13</v>
      </c>
      <c r="B27">
        <v>257</v>
      </c>
      <c r="C27" t="s">
        <v>15</v>
      </c>
      <c r="D27" t="s">
        <v>16</v>
      </c>
      <c r="E27" t="s">
        <v>85</v>
      </c>
      <c r="F27" t="s">
        <v>86</v>
      </c>
      <c r="G27" t="s">
        <v>87</v>
      </c>
      <c r="H27" t="s">
        <v>86</v>
      </c>
      <c r="I27" t="s">
        <v>88</v>
      </c>
      <c r="J27" t="s">
        <v>89</v>
      </c>
      <c r="K27">
        <v>0.89639999999999997</v>
      </c>
      <c r="L27">
        <v>0.93149999999999999</v>
      </c>
      <c r="M27">
        <v>0.76090000000000002</v>
      </c>
      <c r="N27">
        <v>0.94789999999999996</v>
      </c>
      <c r="O27">
        <v>0.94520000000000004</v>
      </c>
      <c r="Q27" t="s">
        <v>300</v>
      </c>
      <c r="R27">
        <v>0.91369999999999996</v>
      </c>
      <c r="S27">
        <f>K27-R27</f>
        <v>-1.7299999999999982E-2</v>
      </c>
    </row>
    <row r="28" spans="1:19" hidden="1" x14ac:dyDescent="0.3">
      <c r="A28">
        <v>26</v>
      </c>
      <c r="B28">
        <v>880</v>
      </c>
      <c r="C28" t="s">
        <v>15</v>
      </c>
      <c r="D28" t="s">
        <v>16</v>
      </c>
      <c r="E28" t="s">
        <v>156</v>
      </c>
      <c r="F28" t="s">
        <v>157</v>
      </c>
      <c r="G28" t="s">
        <v>158</v>
      </c>
      <c r="H28" t="s">
        <v>159</v>
      </c>
      <c r="I28" t="s">
        <v>160</v>
      </c>
      <c r="J28" t="s">
        <v>161</v>
      </c>
      <c r="K28">
        <v>0.22869999999999999</v>
      </c>
      <c r="L28">
        <v>0.1978</v>
      </c>
      <c r="M28">
        <v>0</v>
      </c>
      <c r="N28">
        <v>4.2900000000000001E-2</v>
      </c>
      <c r="O28">
        <v>0.67420000000000002</v>
      </c>
      <c r="Q28" t="s">
        <v>161</v>
      </c>
      <c r="R28">
        <v>0.22869999999999999</v>
      </c>
      <c r="S28">
        <f>K28-R28</f>
        <v>0</v>
      </c>
    </row>
    <row r="29" spans="1:19" x14ac:dyDescent="0.3">
      <c r="A29">
        <v>48</v>
      </c>
      <c r="B29">
        <v>241</v>
      </c>
      <c r="C29" t="s">
        <v>15</v>
      </c>
      <c r="D29" t="s">
        <v>16</v>
      </c>
      <c r="E29" t="s">
        <v>279</v>
      </c>
      <c r="F29" t="s">
        <v>280</v>
      </c>
      <c r="G29" t="s">
        <v>281</v>
      </c>
      <c r="H29" t="s">
        <v>282</v>
      </c>
      <c r="I29" t="s">
        <v>283</v>
      </c>
      <c r="J29" t="s">
        <v>284</v>
      </c>
      <c r="K29">
        <v>0.59160000000000001</v>
      </c>
      <c r="L29">
        <v>0.44740000000000002</v>
      </c>
      <c r="M29">
        <v>0.2863</v>
      </c>
      <c r="N29">
        <v>0.83320000000000005</v>
      </c>
      <c r="O29">
        <v>0.79930000000000001</v>
      </c>
      <c r="Q29" s="4" t="s">
        <v>318</v>
      </c>
      <c r="R29" s="4">
        <v>0.60829999999999995</v>
      </c>
      <c r="S29">
        <f>K29-R29</f>
        <v>-1.6699999999999937E-2</v>
      </c>
    </row>
    <row r="30" spans="1:19" hidden="1" x14ac:dyDescent="0.3">
      <c r="A30">
        <v>28</v>
      </c>
      <c r="B30">
        <v>380</v>
      </c>
      <c r="C30" t="s">
        <v>15</v>
      </c>
      <c r="D30" t="s">
        <v>16</v>
      </c>
      <c r="E30" t="s">
        <v>168</v>
      </c>
      <c r="F30" t="s">
        <v>169</v>
      </c>
      <c r="G30" t="s">
        <v>170</v>
      </c>
      <c r="H30" t="s">
        <v>171</v>
      </c>
      <c r="I30" t="s">
        <v>172</v>
      </c>
      <c r="J30" t="s">
        <v>173</v>
      </c>
      <c r="K30">
        <v>0.84950000000000003</v>
      </c>
      <c r="L30">
        <v>0.90139999999999998</v>
      </c>
      <c r="M30">
        <v>0.6825</v>
      </c>
      <c r="N30">
        <v>0.85160000000000002</v>
      </c>
      <c r="O30">
        <v>0.96240000000000003</v>
      </c>
      <c r="Q30" t="s">
        <v>173</v>
      </c>
      <c r="R30">
        <v>0.84950000000000003</v>
      </c>
      <c r="S30">
        <f>K30-R30</f>
        <v>0</v>
      </c>
    </row>
    <row r="31" spans="1:19" x14ac:dyDescent="0.3">
      <c r="A31">
        <v>19</v>
      </c>
      <c r="B31">
        <v>697</v>
      </c>
      <c r="C31" t="s">
        <v>15</v>
      </c>
      <c r="D31" t="s">
        <v>16</v>
      </c>
      <c r="E31" t="s">
        <v>116</v>
      </c>
      <c r="F31" t="s">
        <v>117</v>
      </c>
      <c r="G31" t="s">
        <v>118</v>
      </c>
      <c r="H31" t="s">
        <v>119</v>
      </c>
      <c r="I31" t="s">
        <v>120</v>
      </c>
      <c r="J31" t="s">
        <v>121</v>
      </c>
      <c r="K31">
        <v>0.50560000000000005</v>
      </c>
      <c r="L31">
        <v>0.39510000000000001</v>
      </c>
      <c r="M31">
        <v>0.2369</v>
      </c>
      <c r="N31">
        <v>0.52180000000000004</v>
      </c>
      <c r="O31">
        <v>0.86860000000000004</v>
      </c>
      <c r="Q31" t="s">
        <v>304</v>
      </c>
      <c r="R31">
        <v>0.52100000000000002</v>
      </c>
      <c r="S31">
        <f>K31-R31</f>
        <v>-1.5399999999999969E-2</v>
      </c>
    </row>
    <row r="32" spans="1:19" hidden="1" x14ac:dyDescent="0.3">
      <c r="A32">
        <v>30</v>
      </c>
      <c r="B32">
        <v>455</v>
      </c>
      <c r="C32" t="s">
        <v>15</v>
      </c>
      <c r="D32" t="s">
        <v>16</v>
      </c>
      <c r="E32" t="s">
        <v>179</v>
      </c>
      <c r="F32" t="s">
        <v>180</v>
      </c>
      <c r="G32" t="s">
        <v>181</v>
      </c>
      <c r="H32" t="s">
        <v>182</v>
      </c>
      <c r="I32" t="s">
        <v>183</v>
      </c>
      <c r="J32" t="s">
        <v>184</v>
      </c>
      <c r="K32">
        <v>0.54559999999999997</v>
      </c>
      <c r="L32">
        <v>0.64790000000000003</v>
      </c>
      <c r="M32">
        <v>0.22509999999999999</v>
      </c>
      <c r="N32">
        <v>0.44790000000000002</v>
      </c>
      <c r="O32">
        <v>0.86170000000000002</v>
      </c>
      <c r="Q32" t="s">
        <v>184</v>
      </c>
      <c r="R32">
        <v>0.54559999999999997</v>
      </c>
      <c r="S32">
        <f>K32-R32</f>
        <v>0</v>
      </c>
    </row>
    <row r="33" spans="1:19" x14ac:dyDescent="0.3">
      <c r="A33">
        <v>27</v>
      </c>
      <c r="B33">
        <v>521</v>
      </c>
      <c r="C33" t="s">
        <v>15</v>
      </c>
      <c r="D33" t="s">
        <v>16</v>
      </c>
      <c r="E33" t="s">
        <v>162</v>
      </c>
      <c r="F33" t="s">
        <v>163</v>
      </c>
      <c r="G33" t="s">
        <v>164</v>
      </c>
      <c r="H33" t="s">
        <v>165</v>
      </c>
      <c r="I33" t="s">
        <v>166</v>
      </c>
      <c r="J33" t="s">
        <v>167</v>
      </c>
      <c r="K33">
        <v>0.7248</v>
      </c>
      <c r="L33">
        <v>0.7077</v>
      </c>
      <c r="M33">
        <v>0.50619999999999998</v>
      </c>
      <c r="N33">
        <v>0.78849999999999998</v>
      </c>
      <c r="O33">
        <v>0.89670000000000005</v>
      </c>
      <c r="Q33" t="s">
        <v>308</v>
      </c>
      <c r="R33">
        <v>0.73860000000000003</v>
      </c>
      <c r="S33">
        <f>K33-R33</f>
        <v>-1.3800000000000034E-2</v>
      </c>
    </row>
    <row r="34" spans="1:19" hidden="1" x14ac:dyDescent="0.3">
      <c r="A34">
        <v>32</v>
      </c>
      <c r="B34">
        <v>274</v>
      </c>
      <c r="C34" t="s">
        <v>15</v>
      </c>
      <c r="D34" t="s">
        <v>16</v>
      </c>
      <c r="E34" t="s">
        <v>191</v>
      </c>
      <c r="F34" t="s">
        <v>192</v>
      </c>
      <c r="G34" t="s">
        <v>193</v>
      </c>
      <c r="H34" t="s">
        <v>194</v>
      </c>
      <c r="I34" t="s">
        <v>195</v>
      </c>
      <c r="J34" t="s">
        <v>196</v>
      </c>
      <c r="K34">
        <v>0.87560000000000004</v>
      </c>
      <c r="L34">
        <v>0.93330000000000002</v>
      </c>
      <c r="M34">
        <v>0.75339999999999996</v>
      </c>
      <c r="N34">
        <v>0.85680000000000001</v>
      </c>
      <c r="O34">
        <v>0.95909999999999995</v>
      </c>
      <c r="Q34" t="s">
        <v>196</v>
      </c>
      <c r="R34">
        <v>0.87560000000000004</v>
      </c>
      <c r="S34">
        <f>K34-R34</f>
        <v>0</v>
      </c>
    </row>
    <row r="35" spans="1:19" x14ac:dyDescent="0.3">
      <c r="A35">
        <v>8</v>
      </c>
      <c r="B35">
        <v>753</v>
      </c>
      <c r="C35" t="s">
        <v>15</v>
      </c>
      <c r="D35" t="s">
        <v>16</v>
      </c>
      <c r="E35" t="s">
        <v>59</v>
      </c>
      <c r="F35" t="s">
        <v>60</v>
      </c>
      <c r="G35" t="s">
        <v>61</v>
      </c>
      <c r="H35" t="s">
        <v>60</v>
      </c>
      <c r="I35" t="s">
        <v>62</v>
      </c>
      <c r="J35" t="s">
        <v>63</v>
      </c>
      <c r="K35">
        <v>0.43330000000000002</v>
      </c>
      <c r="L35">
        <v>0.66669999999999996</v>
      </c>
      <c r="M35">
        <v>0</v>
      </c>
      <c r="N35">
        <v>0.12709999999999999</v>
      </c>
      <c r="O35">
        <v>0.9395</v>
      </c>
      <c r="Q35" t="s">
        <v>297</v>
      </c>
      <c r="R35">
        <v>0.43340000000000001</v>
      </c>
      <c r="S35">
        <f>K35-R35</f>
        <v>-9.9999999999988987E-5</v>
      </c>
    </row>
    <row r="36" spans="1:19" x14ac:dyDescent="0.3">
      <c r="A36">
        <v>7</v>
      </c>
      <c r="B36">
        <v>173</v>
      </c>
      <c r="C36" t="s">
        <v>15</v>
      </c>
      <c r="D36" t="s">
        <v>16</v>
      </c>
      <c r="E36" t="s">
        <v>54</v>
      </c>
      <c r="F36" t="s">
        <v>55</v>
      </c>
      <c r="G36" t="s">
        <v>56</v>
      </c>
      <c r="H36" t="s">
        <v>55</v>
      </c>
      <c r="I36" t="s">
        <v>57</v>
      </c>
      <c r="J36" t="s">
        <v>58</v>
      </c>
      <c r="K36">
        <v>0.58050000000000002</v>
      </c>
      <c r="L36">
        <v>0.5867</v>
      </c>
      <c r="M36">
        <v>0.3644</v>
      </c>
      <c r="N36">
        <v>0.52939999999999998</v>
      </c>
      <c r="O36">
        <v>0.84140000000000004</v>
      </c>
      <c r="Q36" t="s">
        <v>296</v>
      </c>
      <c r="R36">
        <v>0.57299999999999995</v>
      </c>
      <c r="S36">
        <f>K36-R36</f>
        <v>7.5000000000000622E-3</v>
      </c>
    </row>
    <row r="37" spans="1:19" hidden="1" x14ac:dyDescent="0.3">
      <c r="A37">
        <v>35</v>
      </c>
      <c r="B37">
        <v>28</v>
      </c>
      <c r="C37" t="s">
        <v>15</v>
      </c>
      <c r="D37" t="s">
        <v>16</v>
      </c>
      <c r="E37" t="s">
        <v>209</v>
      </c>
      <c r="F37" t="s">
        <v>210</v>
      </c>
      <c r="G37" t="s">
        <v>211</v>
      </c>
      <c r="H37" t="s">
        <v>210</v>
      </c>
      <c r="I37" t="s">
        <v>212</v>
      </c>
      <c r="J37" t="s">
        <v>213</v>
      </c>
      <c r="K37">
        <v>0.7984</v>
      </c>
      <c r="L37">
        <v>0.79520000000000002</v>
      </c>
      <c r="M37">
        <v>0.5948</v>
      </c>
      <c r="N37">
        <v>0.91220000000000001</v>
      </c>
      <c r="O37">
        <v>0.89119999999999999</v>
      </c>
      <c r="Q37" t="s">
        <v>213</v>
      </c>
      <c r="R37">
        <v>0.7984</v>
      </c>
      <c r="S37">
        <f>K37-R37</f>
        <v>0</v>
      </c>
    </row>
    <row r="38" spans="1:19" x14ac:dyDescent="0.3">
      <c r="A38">
        <v>18</v>
      </c>
      <c r="B38">
        <v>595</v>
      </c>
      <c r="C38" t="s">
        <v>15</v>
      </c>
      <c r="D38" t="s">
        <v>16</v>
      </c>
      <c r="E38" t="s">
        <v>110</v>
      </c>
      <c r="F38" t="s">
        <v>111</v>
      </c>
      <c r="G38" t="s">
        <v>112</v>
      </c>
      <c r="H38" t="s">
        <v>113</v>
      </c>
      <c r="I38" t="s">
        <v>114</v>
      </c>
      <c r="J38" t="s">
        <v>115</v>
      </c>
      <c r="K38">
        <v>0.71360000000000001</v>
      </c>
      <c r="L38">
        <v>0.73170000000000002</v>
      </c>
      <c r="M38">
        <v>0.57140000000000002</v>
      </c>
      <c r="N38">
        <v>0.68330000000000002</v>
      </c>
      <c r="O38">
        <v>0.86780000000000002</v>
      </c>
      <c r="Q38" t="s">
        <v>303</v>
      </c>
      <c r="R38">
        <v>0.70430000000000004</v>
      </c>
      <c r="S38">
        <f>K38-R38</f>
        <v>9.299999999999975E-3</v>
      </c>
    </row>
    <row r="39" spans="1:19" hidden="1" x14ac:dyDescent="0.3">
      <c r="A39">
        <v>37</v>
      </c>
      <c r="B39">
        <v>476</v>
      </c>
      <c r="C39" t="s">
        <v>15</v>
      </c>
      <c r="D39" t="s">
        <v>16</v>
      </c>
      <c r="E39" t="s">
        <v>220</v>
      </c>
      <c r="F39" t="s">
        <v>221</v>
      </c>
      <c r="G39" t="s">
        <v>222</v>
      </c>
      <c r="H39" t="s">
        <v>223</v>
      </c>
      <c r="I39" t="s">
        <v>224</v>
      </c>
      <c r="J39" t="s">
        <v>225</v>
      </c>
      <c r="K39">
        <v>0.75580000000000003</v>
      </c>
      <c r="L39">
        <v>0.75</v>
      </c>
      <c r="M39">
        <v>0.4849</v>
      </c>
      <c r="N39">
        <v>0.9</v>
      </c>
      <c r="O39">
        <v>0.88839999999999997</v>
      </c>
      <c r="Q39" t="s">
        <v>225</v>
      </c>
      <c r="R39">
        <v>0.75580000000000003</v>
      </c>
      <c r="S39">
        <f>K39-R39</f>
        <v>0</v>
      </c>
    </row>
    <row r="40" spans="1:19" hidden="1" x14ac:dyDescent="0.3">
      <c r="A40">
        <v>38</v>
      </c>
      <c r="B40">
        <v>326</v>
      </c>
      <c r="C40" t="s">
        <v>15</v>
      </c>
      <c r="D40" t="s">
        <v>16</v>
      </c>
      <c r="E40" t="s">
        <v>226</v>
      </c>
      <c r="F40" t="s">
        <v>227</v>
      </c>
      <c r="G40" t="s">
        <v>228</v>
      </c>
      <c r="H40" t="s">
        <v>229</v>
      </c>
      <c r="I40" t="s">
        <v>230</v>
      </c>
      <c r="J40" t="s">
        <v>231</v>
      </c>
      <c r="K40">
        <v>0.23769999999999999</v>
      </c>
      <c r="L40">
        <v>0.15379999999999999</v>
      </c>
      <c r="M40">
        <v>0</v>
      </c>
      <c r="N40">
        <v>7.46E-2</v>
      </c>
      <c r="O40">
        <v>0.72240000000000004</v>
      </c>
      <c r="Q40" t="s">
        <v>231</v>
      </c>
      <c r="R40">
        <v>0.23769999999999999</v>
      </c>
      <c r="S40">
        <f>K40-R40</f>
        <v>0</v>
      </c>
    </row>
    <row r="41" spans="1:19" x14ac:dyDescent="0.3">
      <c r="A41">
        <v>22</v>
      </c>
      <c r="B41">
        <v>653</v>
      </c>
      <c r="C41" t="s">
        <v>15</v>
      </c>
      <c r="D41" t="s">
        <v>16</v>
      </c>
      <c r="E41" t="s">
        <v>134</v>
      </c>
      <c r="F41" t="s">
        <v>135</v>
      </c>
      <c r="G41" t="s">
        <v>136</v>
      </c>
      <c r="H41" t="s">
        <v>135</v>
      </c>
      <c r="I41" t="s">
        <v>137</v>
      </c>
      <c r="J41" t="s">
        <v>138</v>
      </c>
      <c r="K41">
        <v>0.55200000000000005</v>
      </c>
      <c r="L41">
        <v>0.54549999999999998</v>
      </c>
      <c r="M41">
        <v>0.32429999999999998</v>
      </c>
      <c r="N41">
        <v>0.50849999999999995</v>
      </c>
      <c r="O41">
        <v>0.8296</v>
      </c>
      <c r="Q41" t="s">
        <v>306</v>
      </c>
      <c r="R41">
        <v>0.54049999999999998</v>
      </c>
      <c r="S41">
        <f>K41-R41</f>
        <v>1.1500000000000066E-2</v>
      </c>
    </row>
    <row r="42" spans="1:19" x14ac:dyDescent="0.3">
      <c r="A42">
        <v>36</v>
      </c>
      <c r="B42">
        <v>372</v>
      </c>
      <c r="C42" t="s">
        <v>15</v>
      </c>
      <c r="D42" t="s">
        <v>16</v>
      </c>
      <c r="E42" t="s">
        <v>214</v>
      </c>
      <c r="F42" t="s">
        <v>215</v>
      </c>
      <c r="G42" t="s">
        <v>216</v>
      </c>
      <c r="H42" t="s">
        <v>217</v>
      </c>
      <c r="I42" t="s">
        <v>218</v>
      </c>
      <c r="J42" t="s">
        <v>219</v>
      </c>
      <c r="K42">
        <v>0.46560000000000001</v>
      </c>
      <c r="L42">
        <v>0.30509999999999998</v>
      </c>
      <c r="M42">
        <v>0.13189999999999999</v>
      </c>
      <c r="N42">
        <v>0.66090000000000004</v>
      </c>
      <c r="O42">
        <v>0.76459999999999995</v>
      </c>
      <c r="Q42" t="s">
        <v>312</v>
      </c>
      <c r="R42">
        <v>0.45219999999999999</v>
      </c>
      <c r="S42">
        <f>K42-R42</f>
        <v>1.3400000000000023E-2</v>
      </c>
    </row>
    <row r="43" spans="1:19" hidden="1" x14ac:dyDescent="0.3">
      <c r="A43">
        <v>41</v>
      </c>
      <c r="B43">
        <v>433</v>
      </c>
      <c r="C43" t="s">
        <v>15</v>
      </c>
      <c r="D43" t="s">
        <v>16</v>
      </c>
      <c r="E43" t="s">
        <v>243</v>
      </c>
      <c r="F43" t="s">
        <v>244</v>
      </c>
      <c r="G43" t="s">
        <v>245</v>
      </c>
      <c r="H43" t="s">
        <v>244</v>
      </c>
      <c r="I43" t="s">
        <v>246</v>
      </c>
      <c r="J43" t="s">
        <v>246</v>
      </c>
      <c r="K43">
        <v>1</v>
      </c>
      <c r="L43">
        <v>1</v>
      </c>
      <c r="M43">
        <v>1</v>
      </c>
      <c r="N43">
        <v>0.99990000000000001</v>
      </c>
      <c r="O43">
        <v>1</v>
      </c>
      <c r="Q43" t="s">
        <v>246</v>
      </c>
      <c r="R43">
        <v>1</v>
      </c>
      <c r="S43">
        <f>K43-R43</f>
        <v>0</v>
      </c>
    </row>
    <row r="44" spans="1:19" hidden="1" x14ac:dyDescent="0.3">
      <c r="A44">
        <v>42</v>
      </c>
      <c r="B44">
        <v>913</v>
      </c>
      <c r="C44" t="s">
        <v>15</v>
      </c>
      <c r="D44" t="s">
        <v>16</v>
      </c>
      <c r="E44" t="s">
        <v>247</v>
      </c>
      <c r="F44" t="s">
        <v>248</v>
      </c>
      <c r="G44" t="s">
        <v>249</v>
      </c>
      <c r="H44" t="s">
        <v>248</v>
      </c>
      <c r="I44" t="s">
        <v>250</v>
      </c>
      <c r="J44" t="s">
        <v>251</v>
      </c>
      <c r="K44">
        <v>0.77500000000000002</v>
      </c>
      <c r="L44">
        <v>0.85709999999999997</v>
      </c>
      <c r="M44">
        <v>0.49890000000000001</v>
      </c>
      <c r="N44">
        <v>0.77829999999999999</v>
      </c>
      <c r="O44">
        <v>0.96560000000000001</v>
      </c>
      <c r="Q44" t="s">
        <v>251</v>
      </c>
      <c r="R44">
        <v>0.77500000000000002</v>
      </c>
      <c r="S44">
        <f>K44-R44</f>
        <v>0</v>
      </c>
    </row>
    <row r="45" spans="1:19" x14ac:dyDescent="0.3">
      <c r="A45">
        <v>4</v>
      </c>
      <c r="B45">
        <v>86</v>
      </c>
      <c r="C45" t="s">
        <v>15</v>
      </c>
      <c r="D45" t="s">
        <v>16</v>
      </c>
      <c r="E45" t="s">
        <v>37</v>
      </c>
      <c r="F45" t="s">
        <v>38</v>
      </c>
      <c r="G45" t="s">
        <v>39</v>
      </c>
      <c r="H45" t="s">
        <v>38</v>
      </c>
      <c r="I45" t="s">
        <v>40</v>
      </c>
      <c r="J45" t="s">
        <v>41</v>
      </c>
      <c r="K45">
        <v>0.3407</v>
      </c>
      <c r="L45">
        <v>0.3478</v>
      </c>
      <c r="M45">
        <v>3.5099999999999999E-2</v>
      </c>
      <c r="N45">
        <v>0.2586</v>
      </c>
      <c r="O45">
        <v>0.72140000000000004</v>
      </c>
      <c r="Q45" t="s">
        <v>294</v>
      </c>
      <c r="R45">
        <v>0.31879999999999997</v>
      </c>
      <c r="S45">
        <f>K45-R45</f>
        <v>2.1900000000000031E-2</v>
      </c>
    </row>
    <row r="46" spans="1:19" x14ac:dyDescent="0.3">
      <c r="A46">
        <v>1</v>
      </c>
      <c r="B46">
        <v>869</v>
      </c>
      <c r="C46" t="s">
        <v>15</v>
      </c>
      <c r="D46" t="s">
        <v>16</v>
      </c>
      <c r="E46" t="s">
        <v>22</v>
      </c>
      <c r="F46" t="s">
        <v>23</v>
      </c>
      <c r="G46" t="s">
        <v>24</v>
      </c>
      <c r="H46" t="s">
        <v>23</v>
      </c>
      <c r="I46" t="s">
        <v>25</v>
      </c>
      <c r="J46" t="s">
        <v>26</v>
      </c>
      <c r="K46">
        <v>0.68989999999999996</v>
      </c>
      <c r="L46">
        <v>0.72970000000000002</v>
      </c>
      <c r="M46">
        <v>0.47420000000000001</v>
      </c>
      <c r="N46">
        <v>0.63600000000000001</v>
      </c>
      <c r="O46">
        <v>0.91959999999999997</v>
      </c>
      <c r="Q46" t="s">
        <v>292</v>
      </c>
      <c r="R46">
        <v>0.65280000000000005</v>
      </c>
      <c r="S46">
        <f>K46-R46</f>
        <v>3.7099999999999911E-2</v>
      </c>
    </row>
    <row r="47" spans="1:19" x14ac:dyDescent="0.3">
      <c r="A47">
        <v>9</v>
      </c>
      <c r="B47">
        <v>828</v>
      </c>
      <c r="C47" t="s">
        <v>15</v>
      </c>
      <c r="D47" t="s">
        <v>16</v>
      </c>
      <c r="E47" t="s">
        <v>64</v>
      </c>
      <c r="F47" t="s">
        <v>65</v>
      </c>
      <c r="G47" t="s">
        <v>66</v>
      </c>
      <c r="H47" t="s">
        <v>65</v>
      </c>
      <c r="I47" t="s">
        <v>67</v>
      </c>
      <c r="J47" t="s">
        <v>68</v>
      </c>
      <c r="K47">
        <v>0.77839999999999998</v>
      </c>
      <c r="L47">
        <v>0.71960000000000002</v>
      </c>
      <c r="M47">
        <v>0.63890000000000002</v>
      </c>
      <c r="N47">
        <v>0.84509999999999996</v>
      </c>
      <c r="O47">
        <v>0.91</v>
      </c>
      <c r="Q47" t="s">
        <v>298</v>
      </c>
      <c r="R47">
        <v>0.72629999999999995</v>
      </c>
      <c r="S47">
        <f>K47-R47</f>
        <v>5.2100000000000035E-2</v>
      </c>
    </row>
    <row r="48" spans="1:19" hidden="1" x14ac:dyDescent="0.3">
      <c r="A48">
        <v>46</v>
      </c>
      <c r="B48">
        <v>573</v>
      </c>
      <c r="C48" t="s">
        <v>15</v>
      </c>
      <c r="D48" t="s">
        <v>16</v>
      </c>
      <c r="E48" t="s">
        <v>268</v>
      </c>
      <c r="F48" t="s">
        <v>269</v>
      </c>
      <c r="G48" t="s">
        <v>270</v>
      </c>
      <c r="H48" t="s">
        <v>271</v>
      </c>
      <c r="I48" t="s">
        <v>272</v>
      </c>
      <c r="J48" t="s">
        <v>273</v>
      </c>
      <c r="K48">
        <v>0.66510000000000002</v>
      </c>
      <c r="L48">
        <v>0.73909999999999998</v>
      </c>
      <c r="M48">
        <v>0.4572</v>
      </c>
      <c r="N48">
        <v>0.55459999999999998</v>
      </c>
      <c r="O48">
        <v>0.90959999999999996</v>
      </c>
      <c r="Q48" s="4" t="s">
        <v>273</v>
      </c>
      <c r="R48" s="4">
        <v>0.66510000000000002</v>
      </c>
      <c r="S48">
        <f>K48-R48</f>
        <v>0</v>
      </c>
    </row>
    <row r="49" spans="1:19" x14ac:dyDescent="0.3">
      <c r="A49">
        <v>5</v>
      </c>
      <c r="B49">
        <v>369</v>
      </c>
      <c r="C49" t="s">
        <v>15</v>
      </c>
      <c r="D49" t="s">
        <v>16</v>
      </c>
      <c r="E49" t="s">
        <v>42</v>
      </c>
      <c r="F49" t="s">
        <v>43</v>
      </c>
      <c r="G49" t="s">
        <v>44</v>
      </c>
      <c r="H49" t="s">
        <v>45</v>
      </c>
      <c r="I49" t="s">
        <v>46</v>
      </c>
      <c r="J49" t="s">
        <v>47</v>
      </c>
      <c r="K49">
        <v>0.48139999999999999</v>
      </c>
      <c r="L49">
        <v>0.4194</v>
      </c>
      <c r="M49">
        <v>0.17649999999999999</v>
      </c>
      <c r="N49">
        <v>0.54120000000000001</v>
      </c>
      <c r="O49">
        <v>0.78859999999999997</v>
      </c>
      <c r="Q49" s="3" t="s">
        <v>295</v>
      </c>
      <c r="R49" s="4">
        <v>0.40939999999999999</v>
      </c>
      <c r="S49">
        <f>K49-R49</f>
        <v>7.2000000000000008E-2</v>
      </c>
    </row>
    <row r="50" spans="1:19" x14ac:dyDescent="0.3">
      <c r="A50">
        <v>29</v>
      </c>
      <c r="B50">
        <v>557</v>
      </c>
      <c r="C50" t="s">
        <v>15</v>
      </c>
      <c r="D50" t="s">
        <v>16</v>
      </c>
      <c r="E50" t="s">
        <v>174</v>
      </c>
      <c r="F50" t="s">
        <v>175</v>
      </c>
      <c r="G50" t="s">
        <v>176</v>
      </c>
      <c r="H50" t="s">
        <v>175</v>
      </c>
      <c r="I50" t="s">
        <v>177</v>
      </c>
      <c r="J50" t="s">
        <v>178</v>
      </c>
      <c r="K50">
        <v>0.93489999999999995</v>
      </c>
      <c r="L50">
        <v>0.95650000000000002</v>
      </c>
      <c r="M50">
        <v>0.84279999999999999</v>
      </c>
      <c r="N50">
        <v>0.94889999999999997</v>
      </c>
      <c r="O50">
        <v>0.99150000000000005</v>
      </c>
      <c r="Q50" s="5" t="s">
        <v>309</v>
      </c>
      <c r="R50" s="5">
        <v>0.82379999999999998</v>
      </c>
      <c r="S50">
        <f>K50-R50</f>
        <v>0.11109999999999998</v>
      </c>
    </row>
    <row r="51" spans="1:19" hidden="1" x14ac:dyDescent="0.3">
      <c r="A51">
        <v>49</v>
      </c>
      <c r="B51">
        <v>236</v>
      </c>
      <c r="C51" t="s">
        <v>15</v>
      </c>
      <c r="D51" t="s">
        <v>16</v>
      </c>
      <c r="E51" t="s">
        <v>285</v>
      </c>
      <c r="F51" t="s">
        <v>286</v>
      </c>
      <c r="G51" t="s">
        <v>287</v>
      </c>
      <c r="H51" t="s">
        <v>288</v>
      </c>
      <c r="I51" t="s">
        <v>289</v>
      </c>
      <c r="J51" t="s">
        <v>289</v>
      </c>
      <c r="K51">
        <v>0.99980000000000002</v>
      </c>
      <c r="L51">
        <v>1</v>
      </c>
      <c r="M51">
        <v>1</v>
      </c>
      <c r="N51">
        <v>0.99929999999999997</v>
      </c>
      <c r="O51">
        <v>1</v>
      </c>
      <c r="Q51" t="s">
        <v>289</v>
      </c>
      <c r="R51">
        <v>0.99980000000000002</v>
      </c>
      <c r="S51">
        <f t="shared" ref="S3:S51" si="0">K51-R51</f>
        <v>0</v>
      </c>
    </row>
    <row r="52" spans="1:19" x14ac:dyDescent="0.3">
      <c r="K52">
        <f>AVERAGE(K2:K51)</f>
        <v>0.67479999999999984</v>
      </c>
    </row>
  </sheetData>
  <autoFilter ref="A1:S51" xr:uid="{00000000-0001-0000-0000-000000000000}">
    <filterColumn colId="18">
      <customFilters>
        <customFilter operator="notEqual" val="0"/>
      </customFilters>
    </filterColumn>
    <sortState xmlns:xlrd2="http://schemas.microsoft.com/office/spreadsheetml/2017/richdata2" ref="A3:S50">
      <sortCondition ref="S1:S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2025-11-21T02:50:06Z</dcterms:created>
  <dcterms:modified xsi:type="dcterms:W3CDTF">2025-11-21T03:01:28Z</dcterms:modified>
</cp:coreProperties>
</file>