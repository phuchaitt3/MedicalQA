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4-2025\"/>
    </mc:Choice>
  </mc:AlternateContent>
  <xr:revisionPtr revIDLastSave="0" documentId="13_ncr:1_{F61E4B7D-4850-4EE2-B7AA-FAC9AE9F5AAF}"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Sheet1!$A$1:$V$52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c r="V4" i="1"/>
  <c r="V5" i="1"/>
  <c r="V6" i="1"/>
  <c r="V13" i="1"/>
  <c r="V8" i="1"/>
  <c r="V9" i="1"/>
  <c r="V17" i="1"/>
  <c r="V11" i="1"/>
  <c r="V12" i="1"/>
  <c r="V20" i="1"/>
  <c r="V14" i="1"/>
  <c r="V15" i="1"/>
  <c r="V10" i="1"/>
  <c r="V45" i="1"/>
  <c r="V18" i="1"/>
  <c r="V19" i="1"/>
  <c r="V26" i="1"/>
  <c r="V21" i="1"/>
  <c r="V22" i="1"/>
  <c r="V23" i="1"/>
  <c r="V38" i="1"/>
  <c r="V25" i="1"/>
  <c r="V7" i="1"/>
  <c r="V27" i="1"/>
  <c r="V28" i="1"/>
  <c r="V29" i="1"/>
  <c r="V30" i="1"/>
  <c r="V31" i="1"/>
  <c r="V35" i="1"/>
  <c r="V33" i="1"/>
  <c r="V34" i="1"/>
  <c r="V24" i="1"/>
  <c r="V36" i="1"/>
  <c r="V37" i="1"/>
  <c r="V46" i="1"/>
  <c r="V39" i="1"/>
  <c r="V40" i="1"/>
  <c r="V41" i="1"/>
  <c r="V42" i="1"/>
  <c r="V43" i="1"/>
  <c r="V44" i="1"/>
  <c r="V47" i="1"/>
  <c r="V49" i="1"/>
  <c r="V16" i="1"/>
  <c r="V48" i="1"/>
  <c r="V50" i="1"/>
  <c r="V32" i="1"/>
  <c r="V51" i="1"/>
  <c r="V2" i="1"/>
  <c r="Q52" i="1"/>
  <c r="J52" i="1"/>
  <c r="Q65" i="1"/>
  <c r="J65" i="1"/>
  <c r="R3" i="1"/>
  <c r="R4" i="1"/>
  <c r="R5" i="1"/>
  <c r="R6" i="1"/>
  <c r="R20" i="1"/>
  <c r="R8" i="1"/>
  <c r="R9" i="1"/>
  <c r="R27" i="1"/>
  <c r="R11" i="1"/>
  <c r="R12" i="1"/>
  <c r="R45" i="1"/>
  <c r="R14" i="1"/>
  <c r="R15" i="1"/>
  <c r="R10" i="1"/>
  <c r="R13" i="1"/>
  <c r="R18" i="1"/>
  <c r="R19" i="1"/>
  <c r="R26" i="1"/>
  <c r="R21" i="1"/>
  <c r="R22" i="1"/>
  <c r="R23" i="1"/>
  <c r="R17" i="1"/>
  <c r="R25" i="1"/>
  <c r="R7" i="1"/>
  <c r="R47" i="1"/>
  <c r="R28" i="1"/>
  <c r="R29" i="1"/>
  <c r="R30" i="1"/>
  <c r="R31" i="1"/>
  <c r="R35" i="1"/>
  <c r="R33" i="1"/>
  <c r="R34" i="1"/>
  <c r="R24" i="1"/>
  <c r="R36" i="1"/>
  <c r="R37" i="1"/>
  <c r="R38" i="1"/>
  <c r="R39" i="1"/>
  <c r="R40" i="1"/>
  <c r="R41" i="1"/>
  <c r="R42" i="1"/>
  <c r="R43" i="1"/>
  <c r="R44" i="1"/>
  <c r="R49" i="1"/>
  <c r="R46" i="1"/>
  <c r="R16" i="1"/>
  <c r="R48" i="1"/>
  <c r="R50" i="1"/>
  <c r="R32" i="1"/>
  <c r="R51" i="1"/>
  <c r="R2" i="1"/>
</calcChain>
</file>

<file path=xl/sharedStrings.xml><?xml version="1.0" encoding="utf-8"?>
<sst xmlns="http://schemas.openxmlformats.org/spreadsheetml/2006/main" count="628" uniqueCount="335">
  <si>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</si>
  <si>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</si>
  <si>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</si>
  <si>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</si>
  <si>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</si>
  <si>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</si>
  <si>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</si>
  <si>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</si>
  <si>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</si>
  <si>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</si>
  <si>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</si>
  <si>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</si>
  <si>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</si>
  <si>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</si>
  <si>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</si>
  <si>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</si>
  <si>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</si>
  <si>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</si>
  <si>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0.9404]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0.5522]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0.3805]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0.3188] Tình trạng này làm tắc nghẽn một phần hoặc toàn bộ ruột. Dẫn đến táo bón và chướng bụng. Có thể làm trẻ đau và khó chịu.
   - Unnormalized (Vec/BM25/Rerank): 0.5755 / 0.2196 / 0.7053
   - Normalized (Vec/BM25/Rerank):   0.6198 / 0.0447 / 0.0000
X6. [Final Score: 0.0950]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</si>
  <si>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</si>
  <si>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</si>
  <si>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</si>
  <si>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</si>
  <si>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0.1332]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0.0852]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</si>
  <si>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</si>
  <si>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</si>
  <si>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</si>
  <si>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</si>
  <si>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0.0228]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</si>
  <si>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</si>
  <si>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</si>
  <si>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</si>
  <si>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</si>
  <si>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0.8924]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0.6793]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0.6647]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0.3572]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0.0109]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</si>
  <si>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</si>
  <si>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</si>
  <si>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</si>
  <si>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</si>
  <si>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</si>
  <si>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0.8194]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0.2941]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0.1988]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</si>
  <si>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</si>
  <si>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</si>
  <si>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</si>
  <si>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</si>
  <si>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</si>
  <si>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0.6895]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0.6292]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3. [Final Score: 0.5361]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X4. [Final Score: 0.3624]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</si>
  <si>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</si>
  <si>
    <t>Cây ổi chứa thành phần hóa học như tannin, tanin, pectin.</t>
  </si>
  <si>
    <t>Cây ổi chứa các bộ phận của cây Ổi như lá, hoa và quả.</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</si>
  <si>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</si>
  <si>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</si>
  <si>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0.9582]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2. [Final Score: 0.9213]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3. [Final Score: 0.7094]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0.5501]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5. [Final Score: 0.4108]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
X6. [Final Score: 0.2190]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</si>
  <si>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</si>
  <si>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</si>
  <si>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</si>
  <si>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</si>
  <si>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</si>
  <si>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0.6329]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0.6185 / 0.4469 / 0.7809
X3. [Final Score: 0.0000] - Hoặc hái về rửa sạch, vẩy ráo nước, phơi râm cho khô giòn, chà xát bỏ gân và cọng lá (dùng sống). Có thể tẩm mật (ít dùng), sao qua cho thơm..
   - Unnormalized (Vec/BM25/Rerank): 0.4912 / 0.0678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</si>
  <si>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</si>
  <si>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</si>
  <si>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</si>
  <si>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</si>
  <si>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</si>
  <si>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0.9590]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</si>
  <si>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</si>
  <si>
    <t>Đọc kĩ hướng dẫn sử dụng trên gói Oresol điện giải.</t>
  </si>
  <si>
    <t>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</si>
  <si>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</si>
  <si>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</si>
  <si>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0.7428]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0.4129]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X4. [Final Score: 0.2740]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X5. [Final Score: 0.0890]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</si>
  <si>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&lt;highlight&gt;Bằng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quang.&lt;/highlight&gt;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</si>
  <si>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</si>
  <si>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</si>
  <si>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</si>
  <si>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</si>
  <si>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0.9534]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0.9509]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0.8075]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0.5864]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0.3838]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</si>
  <si>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</si>
  <si>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</si>
  <si>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</si>
  <si>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</si>
  <si>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</si>
  <si>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0.7367]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0.5910]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0.2610]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</si>
  <si>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</si>
  <si>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</si>
  <si>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</si>
  <si>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</si>
  <si>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</si>
  <si>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0.5733]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3. [Final Score: 0.4230]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0.1684]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
X5. [Final Score: 0.1234]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</si>
  <si>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</si>
  <si>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</si>
  <si>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</si>
  <si>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</si>
  <si>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0.6340]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0.1423] Hiếm khi dây tơ hồng vàng ra hoa. Nếu ra thì hoa khá nhỏ, hình cầu, sắc trắng nhạt. Nhiều bông gộp lại thành một chùm.
   - Unnormalized (Vec/BM25/Rerank): 0.6397 / 0.8619 / 0.7859
   - Normalized (Vec/BM25/Rerank):   0.1333 / 0.0445 / 0.2227
X4. [Final Score: 0.1064]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</si>
  <si>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</si>
  <si>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</si>
  <si>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</si>
  <si>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</si>
  <si>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</si>
  <si>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0.9833]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0.8674]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0.6604]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0.5816]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</si>
  <si>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</si>
  <si>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</si>
  <si>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</si>
  <si>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</si>
  <si>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</si>
  <si>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0.9533]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0.9028]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0.7921]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0.7903]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0.4166]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
X6. [Final Score: 0.3875]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t>
  </si>
  <si>
    <t>&lt;highlight&gt;Rễ cây được nhân dân dùng làm thuốc chữa ho, hen, sốt và để lợi tiểu. Có khi dùng để chống nôn và tẩy nhẹ. Ngày uống 6 – 12g dưới dạng thuốc sắc.&lt;/highlight&gt;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</si>
  <si>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</si>
  <si>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Quả cà dại hoa tím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</si>
  <si>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</si>
  <si>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</si>
  <si>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0.9658]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0.8889]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0.5965]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0.5912]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5. [Final Score: 0.4701]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0.0946]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</si>
  <si>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</si>
  <si>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</si>
  <si>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Siêu âm bụng.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</si>
  <si>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</si>
  <si>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</si>
  <si>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0.8837]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0.1709]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0.0162]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</si>
  <si>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</si>
  <si>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</si>
  <si>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</si>
  <si>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</si>
  <si>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</si>
  <si>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0.4987]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</si>
  <si>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</si>
  <si>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</si>
  <si>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</si>
  <si>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</si>
  <si>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</si>
  <si>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0.9703]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0.8608]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X3. [Final Score: 0.3803]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0.2363]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0.0383]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</si>
  <si>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</si>
  <si>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</si>
  <si>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</si>
  <si>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</si>
  <si>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</si>
  <si>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</si>
  <si>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</si>
  <si>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</si>
  <si>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</si>
  <si>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</si>
  <si>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</si>
  <si>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0.8759]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0.6485]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3. [Final Score: 0.4213]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</si>
  <si>
    <t>&lt;highlight&gt;Mỗi răng có phần thân răng và chân răng. Giữa chân răng và thân răng là đường cổ răng (cổ răng giải phẫu). Đó là một đường cong, còn gọi là đường nối men – xê măng.&lt;/highlight&gt;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</si>
  <si>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</si>
  <si>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</si>
  <si>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</si>
  <si>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</si>
  <si>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0.8425]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0.6256]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4. [Final Score: 0.6236]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5. [Final Score: 0.4992] Viết tất cả mọi thứ vào trong kế hoạch. Ưu tiên sự có tổ chức khi ở nhà và nơi làm việc. - Xóa đi sự phiền nhiễu.
   - Unnormalized (Vec/BM25/Rerank): 0.0000 / 4.5131 / 0.8491
   - Normalized (Vec/BM25/Rerank):   0.0000 / 1.0000 / 0.9972
6. [Final Score: 0.4514] Tìm một nơi yên tĩnh để bạn có thể tập trung. Đeo nút tai hoặc tai nghe khử tiếng ồn. - Chuẩn bị cho sự thành công.
   - Unnormalized (Vec/BM25/Rerank): 0.7347 / 0.0000 / 0.7734
   - Normalized (Vec/BM25/Rerank):   0.9028 / 0.0000 / 0.0000</t>
  </si>
  <si>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</si>
  <si>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</si>
  <si>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</si>
  <si>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</si>
  <si>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</si>
  <si>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0.5000]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
2. [Final Score: 0.5000]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t>
  </si>
  <si>
    <t>Trong tình trạng này, tủy xương của bạn tạo ra quá nhiều TC. Những người mắc bệnh này có thể có số lượng hơn 1 triệu. &lt;highlight&gt;Các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này?&lt;/highlight&gt;</t>
  </si>
  <si>
    <t>Những người mắc bệnh này có thể có số lượng tiểu cầu hơn 1 triệu.</t>
  </si>
  <si>
    <t xml:space="preserve">&lt;highlight&gt;Barrett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dày.&lt;/highlight&gt;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</si>
  <si>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</si>
  <si>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Điều trị Barrett thực quản thường được thực hiện bằng phẫu thuật cắt bỏ phần thực quản bị biến đổi.</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</si>
  <si>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</si>
  <si>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</si>
  <si>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</si>
  <si>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</si>
  <si>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</si>
  <si>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</si>
  <si>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</si>
  <si>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</si>
  <si>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</si>
  <si>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</si>
  <si>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</si>
  <si>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</si>
  <si>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</si>
  <si>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0.4400]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</si>
  <si>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</si>
  <si>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</si>
  <si>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</si>
  <si>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</si>
  <si>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</si>
  <si>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</si>
  <si>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</si>
  <si>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</si>
  <si>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</si>
  <si>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</si>
  <si>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</si>
  <si>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0.8842]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0.6504]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3. [Final Score: 0.6209]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0.6146]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X5. [Final Score: 0.0322] - Thủng ruột: Xuất hiện ở 10% các trường hợp. Xem thêm: 9 điều cần biết về bệnh viêm loét dạ dày: Căn bệnh ngày càng phổ biến
   - Unnormalized (Vec/BM25/Rerank): 0.7072 / 1.9530 / 0.8270
   - Normalized (Vec/BM25/Rerank):   0.0000 / 0.0000 / 0.1074</t>
  </si>
  <si>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</si>
  <si>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</si>
  <si>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</si>
  <si>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</si>
  <si>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</si>
  <si>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0.7000]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X2. [Final Score: 0.3000]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</si>
  <si>
    <t>&lt;highlight&gt;Hầu họng kéo dài từ vòm miệng mềm đến nắp thanh quản. Về mặt bên, nó được tiếp giáp với trụ amidan trước và sau. Phía sau, thành hầu được cấu tạo phần lớn bởi các cơ co thắt hầu.&lt;/highlight&gt; Hầu họng đóng vai trò là đường dẫn chính cho cả chất rắn và chất lỏng từ miệng đến thực quản. Đồng thời cho luồng không khí đi qua thanh quản.</t>
  </si>
  <si>
    <t>Về mặt bên, hầu họng được tiếp giáp với trụ amidan trước và sau. Phía sau, thành hầu được cấu tạo phần lớn bởi các cơ co thắt hầu.</t>
  </si>
  <si>
    <t>Hầu họng có cấu tạo phần mềm, tiếp giáp với trụ amidan trước và sau, phần lớn là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</si>
  <si>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</si>
  <si>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</si>
  <si>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0.8458]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0.3135] - Tăng nồng độ axit béo trong cơ thể. - Sự sản xuất năng lượng trong tế bào sẽ tăng lên khi có sự tăng tiết Adrenaline.
   - Unnormalized (Vec/BM25/Rerank): 0.7304 / 0.1866 / 0.6847
   - Normalized (Vec/BM25/Rerank):   0.6271 / 0.0000 / 0.0000
X4. [Final Score: 0.3135] - Tăng nồng độ axit béo trong cơ thể.
- Sự sản xuất năng lượng trong tế bào sẽ tăng lên khi có sự tăng tiết Adrenaline.
   - Unnormalized (Vec/BM25/Rerank): 0.7304 / 0.1866 / 0.6847
   - Normalized (Vec/BM25/Rerank):   0.6271 / 0.0000 / 0.0000
X5. [Final Score: 0.1424]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t>
  </si>
  <si>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</si>
  <si>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</si>
  <si>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</si>
  <si>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</si>
  <si>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0.9437]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0.8964]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3. [Final Score: 0.8025]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X4. [Final Score: 0.3279]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</si>
  <si>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</si>
  <si>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</si>
  <si>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</si>
  <si>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</si>
  <si>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</si>
  <si>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0.5487]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0.2546]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0.1747]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0.1713]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</si>
  <si>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</si>
  <si>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</si>
  <si>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</si>
  <si>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</si>
  <si>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</si>
  <si>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0.7305]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2. [Final Score: 0.6373]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3. [Final Score: 0.5593]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4. [Final Score: 0.5451]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</si>
  <si>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thể.&lt;/highlight&gt; Đây là con đường chung cuối cùng của hầu hết các bệnh lý tim mạch. &lt;highlight&gt;Nếu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quả.&lt;/highlight&gt;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</si>
  <si>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</si>
  <si>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</si>
  <si>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</si>
  <si>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</si>
  <si>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0.0243]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</si>
  <si>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</si>
  <si>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</si>
  <si>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</si>
  <si>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</si>
  <si>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0.3947]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0.1734]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0.0006]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</si>
  <si>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</si>
  <si>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</si>
  <si>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</si>
  <si>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</si>
  <si>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</si>
  <si>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0.5604]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</si>
  <si>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</si>
  <si>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</si>
  <si>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</si>
  <si>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</si>
  <si>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</si>
  <si>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2. [Final Score: 0.4471]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
X3. [Final Score: 0.2290]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t>
  </si>
  <si>
    <t>&lt;highlight&gt;Hỗ trợ ổn định đường huyết: khi cây đang ra hoa, hoa chuối chưa bung bẹ. Tiến hành cắt ngang thân giả, tính từ mặt đất lên 20 – 25 cm. Khoét lỗ ở giữa, đậy kín 1 đêm, lấy nước tiết ra từ thân chuối để uống.&lt;/highlight&gt;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</si>
  <si>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</si>
  <si>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</si>
  <si>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</si>
  <si>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</si>
  <si>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0.7981]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0.5718]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0.0676]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0.0071] Do đó, có thể phải cần đến phương pháp phẫu thuật để điều trị. Xem thêm: Đau đầu dạng căng thẳng: Có nguy hiểm không?
   - Unnormalized (Vec/BM25/Rerank): 0.5976 / 0.3580 / 0.8022
   - Normalized (Vec/BM25/Rerank):   0.0000 / 0.0000 / 0.0237</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</si>
  <si>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</si>
  <si>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</si>
  <si>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</si>
  <si>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</si>
  <si>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</si>
  <si>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</si>
  <si>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</si>
  <si>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</si>
  <si>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</si>
  <si>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</si>
  <si>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</si>
  <si>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0.9765]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0.7671]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4. [Final Score: 0.4602]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5. [Final Score: 0.4143]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</si>
  <si>
    <t>&lt;highlight&gt;Lưỡi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lưỡi).&lt;/highlight&gt;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</si>
  <si>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</si>
  <si>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</si>
  <si>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</si>
  <si>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gồm:1 2 - Đau tức thời và dữ dội. - Sưng. - Bầm tím.
   - Unnormalized (Vec/BM25/Rerank): 0.8059 / 2.7736 / 0.8234
   - Normalized (Vec/BM25/Rerank):   1.0000 / 1.0000 / 1.0000
2. [Final Score: 0.6153] - Sưng.
- Bầm tím.
- Đau hay khó chịu khi đụng vào.
- Không thể di chuyển được hay di chuyển hạn chế.
- Biến dạng vùng cổ chân.
   - Unnormalized (Vec/BM25/Rerank): 0.7901 / 0.8832 / 0.7352
   - Normalized (Vec/BM25/Rerank):   0.8974 / 0.2383 / 0.3964
X3. [Final Score: 0.1540]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</si>
  <si>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</si>
  <si>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</si>
  <si>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</si>
  <si>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</si>
  <si>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</si>
  <si>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0.2095]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X3. [Final Score: 0.1060]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X4. [Final Score: 0.0590]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</si>
  <si>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</si>
  <si>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</si>
  <si>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</si>
  <si>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</si>
  <si>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0.2703]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0.1219]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</si>
  <si>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</si>
  <si>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</si>
  <si>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Tình trạng dư thừa gastrin có thể gây ra hậu quả thủng dạ dày nếu không được điều trị.</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</si>
  <si>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</si>
  <si>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</si>
  <si>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0.8977]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0.7552]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3. [Final Score: 0.4958]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X4. [Final Score: 0.2785]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</si>
  <si>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</si>
  <si>
    <t>Hạt Cau kỵ lửa, vì vậy không nên sao chín vì có thể làm giảm tác dụng chữa bệnh của dược liệu.</t>
  </si>
  <si>
    <t>Binh lang có đặc điểm là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</si>
  <si>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</si>
  <si>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</si>
  <si>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0.6915]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3. [Final Score: 0.4500]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</si>
  <si>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</si>
  <si>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</si>
  <si>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</si>
  <si>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</si>
  <si>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</si>
  <si>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0.8727]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0.8487]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0.5821]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0.1889]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0.0064]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</si>
  <si>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</si>
  <si>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</si>
  <si>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</si>
  <si>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</si>
  <si>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</si>
  <si>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0.4393]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0.2429] Cây mọc tốt nhất trong môi trường ẩm ướt, mưa nhiều, nhiệt độ tầm 15 – 18°C. Cây không chịu được nắng nóng.
   - Unnormalized (Vec/BM25/Rerank): 0.7065 / 0.0678 / 0.7533
   - Normalized (Vec/BM25/Rerank):   0.4859 / 0.0000 / 0.0000</t>
  </si>
  <si>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</si>
  <si>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</si>
  <si>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</si>
  <si>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</si>
  <si>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</si>
  <si>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0.5787]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0.1469]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0.0370] Tái sinh tự nhiên chủ yếu từ hạt và có khả năng từ chồi sau khi chặt. Cành và lá cây còn được sử dụng để làm phân xanh.
   - Unnormalized (Vec/BM25/Rerank): 0.5575 / 0.0000 / 0.7272
   - Normalized (Vec/BM25/Rerank):   0.0000 / 0.0000 / 0.1233</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</si>
  <si>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</si>
  <si>
    <t>Nàng nàng ra hoa quả nhiều hàng năm.</t>
  </si>
  <si>
    <t>Cây ổi chứa các thành phần hóa học như: cao lá, hoa và quả có tác dụng ức chế các vi khuẩn tụ cầu vàng và E. coli; tinh dầu từ lá ức chế sự phát triển của E. coli, Bacillus subtillis, tụ cầu vàng; quả ổi chứa nhiều pectin nên có tác dụng nhuận tràng; vỏ ổi chứa tannin giảm đau, sát khuẩn.</t>
  </si>
  <si>
    <t>Bạn cần đọc kĩ hướng dẫn sử dụng trên gói Oresol điện giải.</t>
  </si>
  <si>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và áp dụng liệu pháp tâm lí.</t>
  </si>
  <si>
    <t>Có thể xóa đi sự phiền nhiễu khi đang cố gắng tập trung làm việc bằng cách viết ra những suy nghĩ mất tập trung, ghi lại suy nghĩ của bạn sẽ giúp nhanh chóng xóa chúng đi và đảm bảo rằng bạn sẽ nhớ chúng sau này.</t>
  </si>
  <si>
    <t>Hormonee giáp T4, T3, hormonee kiểm soát tuyến giáp TSH và các tự kháng thể tuyến giáp.</t>
  </si>
  <si>
    <t>Hầu họng được cấu tạo phần lớn bởi các cơ co thắt hầu.</t>
  </si>
  <si>
    <t>Ong đen có tên gọi là Trúc phong vì nó có tên gọi khác nhau, trong đó trúc là cây tre, cây nứa; phong là con ong, vì con ong này sống trong đốt tre cho nên có tên như vậy.</t>
  </si>
  <si>
    <t>Cơ thể mỗi người có 3 cặp tuyến nước bọt chính.</t>
  </si>
  <si>
    <t>Nếu không được điều trị, lâu ngày sẽ tạo nguy cơ thủng dạ dày.</t>
  </si>
  <si>
    <t>Score diff</t>
  </si>
  <si>
    <r>
      <t xml:space="preserve">Cơ thể mỗi người có 3 cặp tuyến nước bọt chính </t>
    </r>
    <r>
      <rPr>
        <b/>
        <sz val="11"/>
        <color theme="1"/>
        <rFont val="Arial"/>
        <family val="2"/>
        <scheme val="minor"/>
      </rPr>
      <t>là: tuyến dưới hàm, tuyến mang tai, tuyến dưới lưỡi.</t>
    </r>
  </si>
  <si>
    <t>Extract_EN_Answer</t>
  </si>
  <si>
    <t>Extract_EN_Avg-Score</t>
  </si>
  <si>
    <t>Cây ổi chứa các thành phần hóa học như: tinh dầu từ lá ổi, quả ổi, hoa ổi, cao lá ổi, hoa ổi, quả ổi, tinh dầu từ lá ổi, quả ổi, hoa ổi, cao lá</t>
  </si>
  <si>
    <t>Các chuyên viên vật lí trị liệu, chuyên viên âm ngữ trị liệu và chuyên viên tâm lí trị liệu có thể hỗ trợ người bệnh cải thiện chức năng sinh hoạt của họ.</t>
  </si>
  <si>
    <r>
      <t xml:space="preserve">Có thể xóa đi sự phiền nhiễu khi đang cố gắng tập trung làm việc bằng cách </t>
    </r>
    <r>
      <rPr>
        <b/>
        <sz val="11"/>
        <color theme="1"/>
        <rFont val="Arial"/>
        <family val="2"/>
        <scheme val="minor"/>
      </rPr>
      <t>viết ra những suy nghĩ mất tập trung</t>
    </r>
    <r>
      <rPr>
        <sz val="11"/>
        <color theme="1"/>
        <rFont val="Arial"/>
        <family val="2"/>
        <scheme val="minor"/>
      </rPr>
      <t>, ghi lại suy nghĩ của bạn sẽ giúp nhanh chóng xóa chúng đi và đảm bảo rằng bạn sẽ nhớ chúng sau này.</t>
    </r>
  </si>
  <si>
    <r>
      <t xml:space="preserve">Có thể xóa đi sự phiền nhiễu khi đang cố gắng tập trung làm việc bằng cách </t>
    </r>
    <r>
      <rPr>
        <sz val="11"/>
        <color rgb="FFFF0000"/>
        <rFont val="Arial"/>
        <family val="2"/>
        <scheme val="minor"/>
      </rPr>
      <t>viết suy nghĩ của mình ra</t>
    </r>
    <r>
      <rPr>
        <sz val="11"/>
        <color theme="1"/>
        <rFont val="Arial"/>
        <family val="2"/>
        <scheme val="minor"/>
      </rPr>
      <t>, ghi lại suy nghĩ của mình sẽ giúp nhanh chóng xóa chúng đi và đảm bảo rằng bạn sẽ nhớ chúng sau này.</t>
    </r>
  </si>
  <si>
    <r>
      <t xml:space="preserve">Để xóa đi sự phiền nhiễu khi đang cố gắng tập trung làm việc, bạn có thể </t>
    </r>
    <r>
      <rPr>
        <b/>
        <sz val="11"/>
        <color theme="1"/>
        <rFont val="Arial"/>
        <family val="2"/>
        <scheme val="minor"/>
      </rPr>
      <t>viết ra những suy nghĩ mất tập trung đó</t>
    </r>
    <r>
      <rPr>
        <sz val="11"/>
        <color theme="1"/>
        <rFont val="Arial"/>
        <family val="2"/>
        <scheme val="minor"/>
      </rPr>
      <t>, ghi lại chúng vào trong kế hoạch và ưu tiên sự có tổ chức ở nhà và nơi làm việc.</t>
    </r>
  </si>
  <si>
    <t>s</t>
  </si>
  <si>
    <t>v199</t>
  </si>
  <si>
    <t>Các chuyên viên vật lí trị liệu có thể hướng dẫn những bài tập an toàn, thích hợp.</t>
  </si>
  <si>
    <t>Theo các mô hình học tập hành vi, một đứa trẻ sẽ là “nạn nhân” khi thấy các hành vi tình dục không phù hợp. Chúng có thể học cách bắt chước hoặc sau đó được củng cố hành vi đó.</t>
  </si>
  <si>
    <t>Các nhận dạng thay thế trong rối loạn nhận dạng phân ly có chung đặc điểm là sự khác biệt rõ ràng về giọng nói, giới tính, phong cách và thậm chí cả những phẩm chất thể chất.</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</si>
  <si>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</si>
  <si>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</si>
  <si>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Chẩn đoán chính xác u nhú thanh quản thông qua sinh thiết, bao gồm xét nghiệm bằng kính hiển vi và xét nghiệm HPV trên một mẫu sinh thiết.</t>
  </si>
  <si>
    <t>Binh lang có đặc điểm kỵ lửa, vì vậy không nên sao chín vì có thể làm giảm tác dụng chữa bệnh của dược liệu.</t>
  </si>
  <si>
    <t>Đoạn thân (cành) của Câu đằng được sử dụng làm dược liệu.</t>
  </si>
  <si>
    <t>Hạ khô thảo dễ mọc tự nhiên ở các vùng có độ cao 1.000 – 1.500m so với mực nước biển. Cây mọc tốt nhất trong môi trường ẩm ướt, mưa nhiều, nhiệt độ tầm 15 – 18°C. Cây không chịu được nắng nóng.</t>
  </si>
  <si>
    <t>Score-Diff</t>
  </si>
  <si>
    <r>
      <t>Làm thế nào để</t>
    </r>
    <r>
      <rPr>
        <b/>
        <sz val="11"/>
        <color theme="1"/>
        <rFont val="Arial"/>
        <family val="2"/>
        <scheme val="minor"/>
      </rPr>
      <t xml:space="preserve"> điều trị Barrett thực quản</t>
    </r>
    <r>
      <rPr>
        <sz val="11"/>
        <color theme="1"/>
        <rFont val="Arial"/>
        <family val="2"/>
        <scheme val="minor"/>
      </rPr>
      <t>?</t>
    </r>
  </si>
  <si>
    <r>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t>
    </r>
    <r>
      <rPr>
        <b/>
        <sz val="11"/>
        <color theme="1"/>
        <rFont val="Arial"/>
        <family val="2"/>
        <scheme val="minor"/>
      </rPr>
      <t xml:space="preserve">người bệnh cần phải theo dõi và kiểm tra thường xuyên các tế bào bất thường này, vì chúng cần được điều trị sớm trước khi hóa thành tế bào ung thư. </t>
    </r>
  </si>
  <si>
    <r>
      <t xml:space="preserve">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2. [Final Score: 0.5000] </t>
    </r>
    <r>
      <rPr>
        <b/>
        <sz val="11"/>
        <color theme="1"/>
        <rFont val="Arial"/>
        <family val="2"/>
        <scheme val="minor"/>
      </rPr>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r>
    <r>
      <rPr>
        <sz val="11"/>
        <color theme="1"/>
        <rFont val="Arial"/>
        <family val="2"/>
        <scheme val="minor"/>
      </rPr>
      <t xml:space="preserve">
   - Unnormalized (Vec/BM25/Rerank): 0.7817 / 0.9973 / 0.7644
   - Normalized (Vec/BM25/Rerank):   0.0000 / 1.0000 / 1.0000
X3. [Final Score: 0.2204]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</si>
</sst>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
  </numFmts>
  <fonts count="5"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
      <b/>
      <sz val="11"/>
      <name val="Arial"/>
      <family val="2"/>
    </font>
  </fonts>
  <fills count="4">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2" borderId="0" xfId="0" applyFill="1"/>
    <xf numFmtId="167" fontId="0" fillId="0" borderId="0" xfId="0" applyNumberFormat="1"/>
    <xf numFmtId="0" fontId="1" fillId="3" borderId="1" xfId="0" applyFont="1" applyFill="1" applyBorder="1" applyAlignment="1">
      <alignment horizontal="center" vertical="top"/>
    </xf>
    <xf numFmtId="0" fontId="0" fillId="3" borderId="0" xfId="0" applyFill="1"/>
    <xf numFmtId="167" fontId="0" fillId="3" borderId="0" xfId="0" applyNumberFormat="1" applyFill="1"/>
    <xf numFmtId="0" fontId="4" fillId="3" borderId="1" xfId="0" applyFont="1" applyFill="1" applyBorder="1" applyAlignment="1">
      <alignment horizontal="center" vertical="top"/>
    </xf>
    <xf numFmtId="0" fontId="0" fillId="0" borderId="0" xfId="0" applyAlignment="1">
      <alignment wrapText="1"/>
    </xf>
    <xf numFmtId="0" fontId="1" fillId="3" borderId="1" xfId="0" applyFont="1" applyFill="1" applyBorder="1" applyAlignment="1">
      <alignment horizontal="center" vertical="top" wrapText="1"/>
    </xf>
    <xf numFmtId="0" fontId="0" fillId="3" borderId="0" xfId="0" applyFill="1"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69"/>
  <sheetViews>
    <sheetView tabSelected="1" topLeftCell="B1" zoomScale="200" zoomScaleNormal="200" workbookViewId="0">
      <selection activeCell="J7" sqref="J7"/>
    </sheetView>
  </sheetViews>
  <sheetFormatPr defaultRowHeight="14" x14ac:dyDescent="0.3"/>
  <cols>
    <col min="6" max="6" width="71.25" style="8" customWidth="1"/>
    <col min="10" max="10" width="9.25" bestFit="1" customWidth="1"/>
    <col min="15" max="18" width="0" hidden="1" customWidth="1"/>
  </cols>
  <sheetData>
    <row r="1" spans="1:22" x14ac:dyDescent="0.3">
      <c r="A1" s="4" t="s">
        <v>0</v>
      </c>
      <c r="B1" s="4" t="s">
        <v>1</v>
      </c>
      <c r="C1" s="4" t="s">
        <v>2</v>
      </c>
      <c r="D1" s="4" t="s">
        <v>3</v>
      </c>
      <c r="E1" s="4" t="s">
        <v>4</v>
      </c>
      <c r="F1" s="9" t="s">
        <v>5</v>
      </c>
      <c r="G1" s="4" t="s">
        <v>6</v>
      </c>
      <c r="H1" s="4" t="s">
        <v>7</v>
      </c>
      <c r="I1" s="4" t="s">
        <v>8</v>
      </c>
      <c r="J1" s="7" t="s">
        <v>9</v>
      </c>
      <c r="K1" s="4" t="s">
        <v>10</v>
      </c>
      <c r="L1" s="4" t="s">
        <v>11</v>
      </c>
      <c r="M1" s="4" t="s">
        <v>12</v>
      </c>
      <c r="N1" s="4" t="s">
        <v>13</v>
      </c>
      <c r="O1" s="5"/>
      <c r="P1" s="5" t="s">
        <v>321</v>
      </c>
      <c r="Q1" s="5" t="s">
        <v>9</v>
      </c>
      <c r="R1" s="5" t="s">
        <v>311</v>
      </c>
      <c r="T1" t="s">
        <v>313</v>
      </c>
      <c r="U1" t="s">
        <v>314</v>
      </c>
      <c r="V1" t="s">
        <v>331</v>
      </c>
    </row>
    <row r="2" spans="1:22" hidden="1" x14ac:dyDescent="0.3">
      <c r="A2">
        <v>0</v>
      </c>
      <c r="B2" t="s">
        <v>14</v>
      </c>
      <c r="C2" t="s">
        <v>15</v>
      </c>
      <c r="D2" t="s">
        <v>16</v>
      </c>
      <c r="E2" t="s">
        <v>17</v>
      </c>
      <c r="F2" t="s">
        <v>18</v>
      </c>
      <c r="G2" t="s">
        <v>19</v>
      </c>
      <c r="H2" t="s">
        <v>20</v>
      </c>
      <c r="I2" t="s">
        <v>20</v>
      </c>
      <c r="J2">
        <v>1</v>
      </c>
      <c r="K2">
        <v>1</v>
      </c>
      <c r="L2">
        <v>1</v>
      </c>
      <c r="M2">
        <v>0.99990000000000001</v>
      </c>
      <c r="N2">
        <v>1</v>
      </c>
      <c r="P2" t="s">
        <v>20</v>
      </c>
      <c r="Q2">
        <v>1</v>
      </c>
      <c r="R2">
        <f>J2-Q2</f>
        <v>0</v>
      </c>
      <c r="T2" t="s">
        <v>20</v>
      </c>
      <c r="U2">
        <v>1</v>
      </c>
      <c r="V2">
        <f>J2-U2</f>
        <v>0</v>
      </c>
    </row>
    <row r="3" spans="1:22" hidden="1" x14ac:dyDescent="0.3">
      <c r="A3">
        <v>1</v>
      </c>
      <c r="B3" t="s">
        <v>14</v>
      </c>
      <c r="C3" t="s">
        <v>15</v>
      </c>
      <c r="D3" t="s">
        <v>21</v>
      </c>
      <c r="E3" t="s">
        <v>22</v>
      </c>
      <c r="F3" t="s">
        <v>23</v>
      </c>
      <c r="G3" t="s">
        <v>22</v>
      </c>
      <c r="H3" t="s">
        <v>24</v>
      </c>
      <c r="I3" t="s">
        <v>25</v>
      </c>
      <c r="J3">
        <v>0.65280000000000005</v>
      </c>
      <c r="K3">
        <v>0.6069</v>
      </c>
      <c r="L3">
        <v>0.35730000000000001</v>
      </c>
      <c r="M3">
        <v>0.80600000000000005</v>
      </c>
      <c r="N3">
        <v>0.84119999999999995</v>
      </c>
      <c r="P3" t="s">
        <v>25</v>
      </c>
      <c r="Q3">
        <v>0.65280000000000005</v>
      </c>
      <c r="R3">
        <f>J3-Q3</f>
        <v>0</v>
      </c>
      <c r="T3" t="s">
        <v>25</v>
      </c>
      <c r="U3">
        <v>0.65280000000000005</v>
      </c>
      <c r="V3">
        <f>J3-U3</f>
        <v>0</v>
      </c>
    </row>
    <row r="4" spans="1:22" hidden="1" x14ac:dyDescent="0.3">
      <c r="A4">
        <v>2</v>
      </c>
      <c r="B4" t="s">
        <v>14</v>
      </c>
      <c r="C4" t="s">
        <v>15</v>
      </c>
      <c r="D4" t="s">
        <v>26</v>
      </c>
      <c r="E4" t="s">
        <v>27</v>
      </c>
      <c r="F4" t="s">
        <v>28</v>
      </c>
      <c r="G4" t="s">
        <v>27</v>
      </c>
      <c r="H4" t="s">
        <v>29</v>
      </c>
      <c r="I4" t="s">
        <v>30</v>
      </c>
      <c r="J4">
        <v>0.66349999999999998</v>
      </c>
      <c r="K4">
        <v>0.75470000000000004</v>
      </c>
      <c r="L4">
        <v>0.39689999999999998</v>
      </c>
      <c r="M4">
        <v>0.57940000000000003</v>
      </c>
      <c r="N4">
        <v>0.92300000000000004</v>
      </c>
      <c r="P4" t="s">
        <v>30</v>
      </c>
      <c r="Q4">
        <v>0.66349999999999998</v>
      </c>
      <c r="R4">
        <f>J4-Q4</f>
        <v>0</v>
      </c>
      <c r="T4" t="s">
        <v>30</v>
      </c>
      <c r="U4">
        <v>0.66349999999999998</v>
      </c>
      <c r="V4">
        <f>J4-U4</f>
        <v>0</v>
      </c>
    </row>
    <row r="5" spans="1:22" hidden="1" x14ac:dyDescent="0.3">
      <c r="A5">
        <v>3</v>
      </c>
      <c r="B5" t="s">
        <v>14</v>
      </c>
      <c r="C5" t="s">
        <v>15</v>
      </c>
      <c r="D5" t="s">
        <v>31</v>
      </c>
      <c r="E5" t="s">
        <v>32</v>
      </c>
      <c r="F5" t="s">
        <v>33</v>
      </c>
      <c r="G5" t="s">
        <v>34</v>
      </c>
      <c r="H5" t="s">
        <v>35</v>
      </c>
      <c r="I5" t="s">
        <v>36</v>
      </c>
      <c r="J5">
        <v>0.92369999999999997</v>
      </c>
      <c r="K5">
        <v>0.94230000000000003</v>
      </c>
      <c r="L5">
        <v>0.8105</v>
      </c>
      <c r="M5">
        <v>0.96709999999999996</v>
      </c>
      <c r="N5">
        <v>0.97499999999999998</v>
      </c>
      <c r="P5" t="s">
        <v>36</v>
      </c>
      <c r="Q5">
        <v>0.92369999999999997</v>
      </c>
      <c r="R5">
        <f>J5-Q5</f>
        <v>0</v>
      </c>
      <c r="T5" t="s">
        <v>36</v>
      </c>
      <c r="U5">
        <v>0.92369999999999997</v>
      </c>
      <c r="V5">
        <f>J5-U5</f>
        <v>0</v>
      </c>
    </row>
    <row r="6" spans="1:22" hidden="1" x14ac:dyDescent="0.3">
      <c r="A6">
        <v>4</v>
      </c>
      <c r="B6" t="s">
        <v>14</v>
      </c>
      <c r="C6" t="s">
        <v>15</v>
      </c>
      <c r="D6" t="s">
        <v>37</v>
      </c>
      <c r="E6" t="s">
        <v>38</v>
      </c>
      <c r="F6" t="s">
        <v>39</v>
      </c>
      <c r="G6" t="s">
        <v>40</v>
      </c>
      <c r="H6" t="s">
        <v>41</v>
      </c>
      <c r="I6" t="s">
        <v>42</v>
      </c>
      <c r="J6">
        <v>0.34739999999999999</v>
      </c>
      <c r="K6">
        <v>0.35560000000000003</v>
      </c>
      <c r="L6">
        <v>4.19E-2</v>
      </c>
      <c r="M6">
        <v>0.2671</v>
      </c>
      <c r="N6">
        <v>0.72499999999999998</v>
      </c>
      <c r="P6" t="s">
        <v>42</v>
      </c>
      <c r="Q6">
        <v>0.34739999999999999</v>
      </c>
      <c r="R6">
        <f>J6-Q6</f>
        <v>0</v>
      </c>
      <c r="T6" t="s">
        <v>42</v>
      </c>
      <c r="U6">
        <v>0.34739999999999999</v>
      </c>
      <c r="V6">
        <f>J6-U6</f>
        <v>0</v>
      </c>
    </row>
    <row r="7" spans="1:22" ht="280" x14ac:dyDescent="0.3">
      <c r="A7">
        <v>24</v>
      </c>
      <c r="B7" t="s">
        <v>14</v>
      </c>
      <c r="C7" t="s">
        <v>15</v>
      </c>
      <c r="D7" t="s">
        <v>332</v>
      </c>
      <c r="E7" t="s">
        <v>333</v>
      </c>
      <c r="F7" s="8" t="s">
        <v>334</v>
      </c>
      <c r="G7" t="s">
        <v>155</v>
      </c>
      <c r="H7" t="s">
        <v>156</v>
      </c>
      <c r="I7" t="s">
        <v>157</v>
      </c>
      <c r="J7">
        <v>0.34639999999999999</v>
      </c>
      <c r="K7">
        <v>0.40510000000000002</v>
      </c>
      <c r="L7">
        <v>0</v>
      </c>
      <c r="M7">
        <v>0.21690000000000001</v>
      </c>
      <c r="N7">
        <v>0.76359999999999995</v>
      </c>
      <c r="P7" t="s">
        <v>157</v>
      </c>
      <c r="Q7">
        <v>0.34639999999999999</v>
      </c>
      <c r="R7">
        <f>J7-Q7</f>
        <v>0</v>
      </c>
      <c r="T7" t="s">
        <v>326</v>
      </c>
      <c r="U7">
        <v>0.63880000000000003</v>
      </c>
      <c r="V7">
        <f>J7-U7</f>
        <v>-0.29240000000000005</v>
      </c>
    </row>
    <row r="8" spans="1:22" hidden="1" x14ac:dyDescent="0.3">
      <c r="A8">
        <v>6</v>
      </c>
      <c r="B8" t="s">
        <v>14</v>
      </c>
      <c r="C8" t="s">
        <v>15</v>
      </c>
      <c r="D8" t="s">
        <v>49</v>
      </c>
      <c r="E8" t="s">
        <v>50</v>
      </c>
      <c r="F8" t="s">
        <v>51</v>
      </c>
      <c r="G8" t="s">
        <v>52</v>
      </c>
      <c r="H8" t="s">
        <v>53</v>
      </c>
      <c r="I8" t="s">
        <v>54</v>
      </c>
      <c r="J8">
        <v>0.94279999999999997</v>
      </c>
      <c r="K8">
        <v>0.97560000000000002</v>
      </c>
      <c r="L8">
        <v>0.87090000000000001</v>
      </c>
      <c r="M8">
        <v>0.93410000000000004</v>
      </c>
      <c r="N8">
        <v>0.99060000000000004</v>
      </c>
      <c r="P8" t="s">
        <v>54</v>
      </c>
      <c r="Q8">
        <v>0.94279999999999997</v>
      </c>
      <c r="R8">
        <f>J8-Q8</f>
        <v>0</v>
      </c>
      <c r="T8" t="s">
        <v>54</v>
      </c>
      <c r="U8">
        <v>0.94279999999999997</v>
      </c>
      <c r="V8">
        <f>J8-U8</f>
        <v>0</v>
      </c>
    </row>
    <row r="9" spans="1:22" hidden="1" x14ac:dyDescent="0.3">
      <c r="A9">
        <v>7</v>
      </c>
      <c r="B9" t="s">
        <v>14</v>
      </c>
      <c r="C9" t="s">
        <v>15</v>
      </c>
      <c r="D9" t="s">
        <v>55</v>
      </c>
      <c r="E9" t="s">
        <v>56</v>
      </c>
      <c r="F9" t="s">
        <v>57</v>
      </c>
      <c r="G9" t="s">
        <v>58</v>
      </c>
      <c r="H9" t="s">
        <v>59</v>
      </c>
      <c r="I9" t="s">
        <v>60</v>
      </c>
      <c r="J9">
        <v>0.58050000000000002</v>
      </c>
      <c r="K9">
        <v>0.5867</v>
      </c>
      <c r="L9">
        <v>0.3644</v>
      </c>
      <c r="M9">
        <v>0.52939999999999998</v>
      </c>
      <c r="N9">
        <v>0.84140000000000004</v>
      </c>
      <c r="P9" t="s">
        <v>60</v>
      </c>
      <c r="Q9">
        <v>0.58050000000000002</v>
      </c>
      <c r="R9">
        <f>J9-Q9</f>
        <v>0</v>
      </c>
      <c r="T9" t="s">
        <v>60</v>
      </c>
      <c r="U9">
        <v>0.58050000000000002</v>
      </c>
      <c r="V9">
        <f>J9-U9</f>
        <v>0</v>
      </c>
    </row>
    <row r="10" spans="1:22" ht="409.5" x14ac:dyDescent="0.3">
      <c r="A10">
        <v>14</v>
      </c>
      <c r="B10" t="s">
        <v>14</v>
      </c>
      <c r="C10" t="s">
        <v>15</v>
      </c>
      <c r="D10" t="s">
        <v>96</v>
      </c>
      <c r="E10" t="s">
        <v>97</v>
      </c>
      <c r="F10" s="8" t="s">
        <v>98</v>
      </c>
      <c r="G10" t="s">
        <v>99</v>
      </c>
      <c r="H10" t="s">
        <v>100</v>
      </c>
      <c r="I10" t="s">
        <v>101</v>
      </c>
      <c r="J10">
        <v>0.66510000000000002</v>
      </c>
      <c r="K10">
        <v>0.75</v>
      </c>
      <c r="L10">
        <v>0.42080000000000001</v>
      </c>
      <c r="M10">
        <v>0.58960000000000001</v>
      </c>
      <c r="N10">
        <v>0.9</v>
      </c>
      <c r="P10" t="s">
        <v>101</v>
      </c>
      <c r="Q10">
        <v>0.66510000000000002</v>
      </c>
      <c r="R10">
        <f>J10-Q10</f>
        <v>0</v>
      </c>
      <c r="T10" t="s">
        <v>323</v>
      </c>
      <c r="U10">
        <v>0.9395</v>
      </c>
      <c r="V10">
        <f>J10-U10</f>
        <v>-0.27439999999999998</v>
      </c>
    </row>
    <row r="11" spans="1:22" hidden="1" x14ac:dyDescent="0.3">
      <c r="A11">
        <v>9</v>
      </c>
      <c r="B11" t="s">
        <v>14</v>
      </c>
      <c r="C11" t="s">
        <v>15</v>
      </c>
      <c r="D11" t="s">
        <v>67</v>
      </c>
      <c r="E11" t="s">
        <v>68</v>
      </c>
      <c r="F11" t="s">
        <v>69</v>
      </c>
      <c r="G11" t="s">
        <v>70</v>
      </c>
      <c r="H11" t="s">
        <v>71</v>
      </c>
      <c r="I11" t="s">
        <v>72</v>
      </c>
      <c r="J11">
        <v>0.72629999999999995</v>
      </c>
      <c r="K11">
        <v>0.76019999999999999</v>
      </c>
      <c r="L11">
        <v>0.53449999999999998</v>
      </c>
      <c r="M11">
        <v>0.69950000000000001</v>
      </c>
      <c r="N11">
        <v>0.91090000000000004</v>
      </c>
      <c r="P11" t="s">
        <v>72</v>
      </c>
      <c r="Q11">
        <v>0.72629999999999995</v>
      </c>
      <c r="R11">
        <f>J11-Q11</f>
        <v>0</v>
      </c>
      <c r="T11" t="s">
        <v>72</v>
      </c>
      <c r="U11">
        <v>0.72629999999999995</v>
      </c>
      <c r="V11">
        <f>J11-U11</f>
        <v>0</v>
      </c>
    </row>
    <row r="12" spans="1:22" hidden="1" x14ac:dyDescent="0.3">
      <c r="A12">
        <v>10</v>
      </c>
      <c r="B12" t="s">
        <v>14</v>
      </c>
      <c r="C12" t="s">
        <v>15</v>
      </c>
      <c r="D12" t="s">
        <v>73</v>
      </c>
      <c r="E12" t="s">
        <v>74</v>
      </c>
      <c r="F12" t="s">
        <v>75</v>
      </c>
      <c r="G12" t="s">
        <v>76</v>
      </c>
      <c r="H12" t="s">
        <v>77</v>
      </c>
      <c r="I12" t="s">
        <v>78</v>
      </c>
      <c r="J12">
        <v>0.65090000000000003</v>
      </c>
      <c r="K12">
        <v>0.68659999999999999</v>
      </c>
      <c r="L12">
        <v>0.42299999999999999</v>
      </c>
      <c r="M12">
        <v>0.57589999999999997</v>
      </c>
      <c r="N12">
        <v>0.91810000000000003</v>
      </c>
      <c r="P12" t="s">
        <v>78</v>
      </c>
      <c r="Q12">
        <v>0.65090000000000003</v>
      </c>
      <c r="R12">
        <f>J12-Q12</f>
        <v>0</v>
      </c>
      <c r="T12" t="s">
        <v>78</v>
      </c>
      <c r="U12">
        <v>0.65090000000000003</v>
      </c>
      <c r="V12">
        <f>J12-U12</f>
        <v>0</v>
      </c>
    </row>
    <row r="13" spans="1:22" ht="409.5" x14ac:dyDescent="0.3">
      <c r="A13" s="5">
        <v>15</v>
      </c>
      <c r="B13" s="5" t="s">
        <v>14</v>
      </c>
      <c r="C13" s="5" t="s">
        <v>15</v>
      </c>
      <c r="D13" s="5" t="s">
        <v>102</v>
      </c>
      <c r="E13" s="5" t="s">
        <v>103</v>
      </c>
      <c r="F13" s="10" t="s">
        <v>104</v>
      </c>
      <c r="G13" s="5" t="s">
        <v>105</v>
      </c>
      <c r="H13" s="2" t="s">
        <v>106</v>
      </c>
      <c r="I13" s="5" t="s">
        <v>107</v>
      </c>
      <c r="J13" s="5">
        <v>0.81520000000000004</v>
      </c>
      <c r="K13" s="5">
        <v>0.91669999999999996</v>
      </c>
      <c r="L13" s="5">
        <v>0.62780000000000002</v>
      </c>
      <c r="M13" s="5">
        <v>0.76829999999999998</v>
      </c>
      <c r="N13" s="5">
        <v>0.94799999999999995</v>
      </c>
      <c r="O13" s="5"/>
      <c r="P13" s="5" t="s">
        <v>106</v>
      </c>
      <c r="Q13" s="5">
        <v>1</v>
      </c>
      <c r="R13" s="5">
        <f>J13-Q13</f>
        <v>-0.18479999999999996</v>
      </c>
      <c r="T13" t="s">
        <v>106</v>
      </c>
      <c r="U13">
        <v>1</v>
      </c>
      <c r="V13">
        <f>J13-U13</f>
        <v>-0.18479999999999996</v>
      </c>
    </row>
    <row r="14" spans="1:22" hidden="1" x14ac:dyDescent="0.3">
      <c r="A14">
        <v>12</v>
      </c>
      <c r="B14" t="s">
        <v>14</v>
      </c>
      <c r="C14" t="s">
        <v>15</v>
      </c>
      <c r="D14" t="s">
        <v>85</v>
      </c>
      <c r="E14" t="s">
        <v>86</v>
      </c>
      <c r="F14" t="s">
        <v>87</v>
      </c>
      <c r="G14" t="s">
        <v>88</v>
      </c>
      <c r="H14" t="s">
        <v>89</v>
      </c>
      <c r="I14" t="s">
        <v>89</v>
      </c>
      <c r="J14">
        <v>1</v>
      </c>
      <c r="K14">
        <v>1</v>
      </c>
      <c r="L14">
        <v>1</v>
      </c>
      <c r="M14">
        <v>1</v>
      </c>
      <c r="N14">
        <v>1</v>
      </c>
      <c r="P14" t="s">
        <v>89</v>
      </c>
      <c r="Q14">
        <v>1</v>
      </c>
      <c r="R14">
        <f>J14-Q14</f>
        <v>0</v>
      </c>
      <c r="T14" t="s">
        <v>89</v>
      </c>
      <c r="U14">
        <v>1</v>
      </c>
      <c r="V14">
        <f>J14-U14</f>
        <v>0</v>
      </c>
    </row>
    <row r="15" spans="1:22" hidden="1" x14ac:dyDescent="0.3">
      <c r="A15">
        <v>13</v>
      </c>
      <c r="B15" t="s">
        <v>14</v>
      </c>
      <c r="C15" t="s">
        <v>15</v>
      </c>
      <c r="D15" t="s">
        <v>90</v>
      </c>
      <c r="E15" t="s">
        <v>91</v>
      </c>
      <c r="F15" t="s">
        <v>92</v>
      </c>
      <c r="G15" t="s">
        <v>93</v>
      </c>
      <c r="H15" t="s">
        <v>94</v>
      </c>
      <c r="I15" t="s">
        <v>95</v>
      </c>
      <c r="J15">
        <v>0.56120000000000003</v>
      </c>
      <c r="K15">
        <v>0.59260000000000002</v>
      </c>
      <c r="L15">
        <v>0.30819999999999997</v>
      </c>
      <c r="M15">
        <v>0.4985</v>
      </c>
      <c r="N15">
        <v>0.84530000000000005</v>
      </c>
      <c r="P15" t="s">
        <v>95</v>
      </c>
      <c r="Q15">
        <v>0.56120000000000003</v>
      </c>
      <c r="R15">
        <f>J15-Q15</f>
        <v>0</v>
      </c>
      <c r="T15" t="s">
        <v>95</v>
      </c>
      <c r="U15">
        <v>0.56120000000000003</v>
      </c>
      <c r="V15">
        <f>J15-U15</f>
        <v>0</v>
      </c>
    </row>
    <row r="16" spans="1:22" ht="392" x14ac:dyDescent="0.3">
      <c r="A16">
        <v>45</v>
      </c>
      <c r="B16" t="s">
        <v>14</v>
      </c>
      <c r="C16" t="s">
        <v>15</v>
      </c>
      <c r="D16" t="s">
        <v>273</v>
      </c>
      <c r="E16" t="s">
        <v>274</v>
      </c>
      <c r="F16" s="8" t="s">
        <v>275</v>
      </c>
      <c r="G16" t="s">
        <v>276</v>
      </c>
      <c r="H16" t="s">
        <v>277</v>
      </c>
      <c r="I16" t="s">
        <v>278</v>
      </c>
      <c r="J16">
        <v>0.77610000000000001</v>
      </c>
      <c r="K16">
        <v>0.80559999999999998</v>
      </c>
      <c r="L16">
        <v>0.68940000000000001</v>
      </c>
      <c r="M16">
        <v>0.71120000000000005</v>
      </c>
      <c r="N16">
        <v>0.89810000000000001</v>
      </c>
      <c r="P16" t="s">
        <v>278</v>
      </c>
      <c r="Q16">
        <v>0.77610000000000001</v>
      </c>
      <c r="R16">
        <f>J16-Q16</f>
        <v>0</v>
      </c>
      <c r="T16" t="s">
        <v>328</v>
      </c>
      <c r="U16">
        <v>0.88</v>
      </c>
      <c r="V16">
        <f>J16-U16</f>
        <v>-0.10389999999999999</v>
      </c>
    </row>
    <row r="17" spans="1:22" ht="409.5" x14ac:dyDescent="0.3">
      <c r="A17" s="5">
        <v>22</v>
      </c>
      <c r="B17" s="5" t="s">
        <v>14</v>
      </c>
      <c r="C17" s="5" t="s">
        <v>15</v>
      </c>
      <c r="D17" s="5" t="s">
        <v>144</v>
      </c>
      <c r="E17" s="5" t="s">
        <v>145</v>
      </c>
      <c r="F17" s="10" t="s">
        <v>146</v>
      </c>
      <c r="G17" s="5" t="s">
        <v>147</v>
      </c>
      <c r="H17" s="5" t="s">
        <v>319</v>
      </c>
      <c r="I17" s="5" t="s">
        <v>318</v>
      </c>
      <c r="J17" s="5">
        <v>0.54049999999999998</v>
      </c>
      <c r="K17" s="5">
        <v>0.56720000000000004</v>
      </c>
      <c r="L17" s="5">
        <v>0.30690000000000001</v>
      </c>
      <c r="M17" s="5">
        <v>0.46970000000000001</v>
      </c>
      <c r="N17" s="5">
        <v>0.81810000000000005</v>
      </c>
      <c r="O17" s="5"/>
      <c r="P17" s="5" t="s">
        <v>317</v>
      </c>
      <c r="Q17" s="5">
        <v>0.62380000000000002</v>
      </c>
      <c r="R17" s="5">
        <f>J17-Q17</f>
        <v>-8.3300000000000041E-2</v>
      </c>
      <c r="T17" t="s">
        <v>325</v>
      </c>
      <c r="U17">
        <v>0.63549999999999995</v>
      </c>
      <c r="V17">
        <f>J17-U17</f>
        <v>-9.4999999999999973E-2</v>
      </c>
    </row>
    <row r="18" spans="1:22" hidden="1" x14ac:dyDescent="0.3">
      <c r="A18">
        <v>16</v>
      </c>
      <c r="B18" t="s">
        <v>14</v>
      </c>
      <c r="C18" t="s">
        <v>15</v>
      </c>
      <c r="D18" t="s">
        <v>108</v>
      </c>
      <c r="E18" t="s">
        <v>109</v>
      </c>
      <c r="F18" t="s">
        <v>110</v>
      </c>
      <c r="G18" t="s">
        <v>111</v>
      </c>
      <c r="H18" t="s">
        <v>112</v>
      </c>
      <c r="I18" t="s">
        <v>113</v>
      </c>
      <c r="J18">
        <v>0.2596</v>
      </c>
      <c r="K18">
        <v>0.18179999999999999</v>
      </c>
      <c r="L18">
        <v>0</v>
      </c>
      <c r="M18">
        <v>0.121</v>
      </c>
      <c r="N18">
        <v>0.73570000000000002</v>
      </c>
      <c r="P18" t="s">
        <v>113</v>
      </c>
      <c r="Q18">
        <v>0.2596</v>
      </c>
      <c r="R18">
        <f>J18-Q18</f>
        <v>0</v>
      </c>
      <c r="T18" t="s">
        <v>113</v>
      </c>
      <c r="U18">
        <v>0.2596</v>
      </c>
      <c r="V18">
        <f>J18-U18</f>
        <v>0</v>
      </c>
    </row>
    <row r="19" spans="1:22" hidden="1" x14ac:dyDescent="0.3">
      <c r="A19">
        <v>17</v>
      </c>
      <c r="B19" t="s">
        <v>14</v>
      </c>
      <c r="C19" t="s">
        <v>15</v>
      </c>
      <c r="D19" t="s">
        <v>114</v>
      </c>
      <c r="E19" t="s">
        <v>115</v>
      </c>
      <c r="F19" t="s">
        <v>116</v>
      </c>
      <c r="G19" t="s">
        <v>117</v>
      </c>
      <c r="H19" t="s">
        <v>118</v>
      </c>
      <c r="I19" t="s">
        <v>119</v>
      </c>
      <c r="J19">
        <v>0.77200000000000002</v>
      </c>
      <c r="K19">
        <v>0.77880000000000005</v>
      </c>
      <c r="L19">
        <v>0.5454</v>
      </c>
      <c r="M19">
        <v>0.83760000000000001</v>
      </c>
      <c r="N19">
        <v>0.92620000000000002</v>
      </c>
      <c r="P19" t="s">
        <v>119</v>
      </c>
      <c r="Q19">
        <v>0.77200000000000002</v>
      </c>
      <c r="R19">
        <f>J19-Q19</f>
        <v>0</v>
      </c>
      <c r="T19" t="s">
        <v>119</v>
      </c>
      <c r="U19">
        <v>0.77200000000000002</v>
      </c>
      <c r="V19">
        <f>J19-U19</f>
        <v>0</v>
      </c>
    </row>
    <row r="20" spans="1:22" ht="409.5" x14ac:dyDescent="0.3">
      <c r="A20" s="5">
        <v>5</v>
      </c>
      <c r="B20" s="5" t="s">
        <v>14</v>
      </c>
      <c r="C20" s="5" t="s">
        <v>15</v>
      </c>
      <c r="D20" s="5" t="s">
        <v>43</v>
      </c>
      <c r="E20" s="5" t="s">
        <v>44</v>
      </c>
      <c r="F20" s="10" t="s">
        <v>45</v>
      </c>
      <c r="G20" s="5" t="s">
        <v>46</v>
      </c>
      <c r="H20" s="5" t="s">
        <v>47</v>
      </c>
      <c r="I20" s="5" t="s">
        <v>48</v>
      </c>
      <c r="J20" s="5">
        <v>0.40939999999999999</v>
      </c>
      <c r="K20" s="5">
        <v>0.54049999999999998</v>
      </c>
      <c r="L20" s="5">
        <v>0</v>
      </c>
      <c r="M20" s="5">
        <v>0.30030000000000001</v>
      </c>
      <c r="N20" s="5">
        <v>0.79690000000000005</v>
      </c>
      <c r="O20" s="5"/>
      <c r="P20" s="5" t="s">
        <v>302</v>
      </c>
      <c r="Q20" s="5">
        <v>0.41920000000000002</v>
      </c>
      <c r="R20" s="5">
        <f>J20-Q20</f>
        <v>-9.8000000000000309E-3</v>
      </c>
      <c r="T20" t="s">
        <v>315</v>
      </c>
      <c r="U20">
        <v>0.4592</v>
      </c>
      <c r="V20">
        <f>J20-U20</f>
        <v>-4.9800000000000011E-2</v>
      </c>
    </row>
    <row r="21" spans="1:22" hidden="1" x14ac:dyDescent="0.3">
      <c r="A21">
        <v>19</v>
      </c>
      <c r="B21" t="s">
        <v>14</v>
      </c>
      <c r="C21" t="s">
        <v>15</v>
      </c>
      <c r="D21" t="s">
        <v>126</v>
      </c>
      <c r="E21" t="s">
        <v>127</v>
      </c>
      <c r="F21" t="s">
        <v>128</v>
      </c>
      <c r="G21" t="s">
        <v>129</v>
      </c>
      <c r="H21" t="s">
        <v>130</v>
      </c>
      <c r="I21" t="s">
        <v>131</v>
      </c>
      <c r="J21">
        <v>0.52100000000000002</v>
      </c>
      <c r="K21">
        <v>0.39510000000000001</v>
      </c>
      <c r="L21">
        <v>0.29759999999999998</v>
      </c>
      <c r="M21">
        <v>0.52180000000000004</v>
      </c>
      <c r="N21">
        <v>0.86929999999999996</v>
      </c>
      <c r="P21" t="s">
        <v>131</v>
      </c>
      <c r="Q21">
        <v>0.52100000000000002</v>
      </c>
      <c r="R21">
        <f>J21-Q21</f>
        <v>0</v>
      </c>
      <c r="T21" t="s">
        <v>131</v>
      </c>
      <c r="U21">
        <v>0.52100000000000002</v>
      </c>
      <c r="V21">
        <f>J21-U21</f>
        <v>0</v>
      </c>
    </row>
    <row r="22" spans="1:22" hidden="1" x14ac:dyDescent="0.3">
      <c r="A22">
        <v>20</v>
      </c>
      <c r="B22" t="s">
        <v>14</v>
      </c>
      <c r="C22" t="s">
        <v>15</v>
      </c>
      <c r="D22" t="s">
        <v>132</v>
      </c>
      <c r="E22" t="s">
        <v>133</v>
      </c>
      <c r="F22" t="s">
        <v>134</v>
      </c>
      <c r="G22" t="s">
        <v>135</v>
      </c>
      <c r="H22" t="s">
        <v>136</v>
      </c>
      <c r="I22" t="s">
        <v>137</v>
      </c>
      <c r="J22">
        <v>0.69210000000000005</v>
      </c>
      <c r="K22">
        <v>0.69899999999999995</v>
      </c>
      <c r="L22">
        <v>0.48970000000000002</v>
      </c>
      <c r="M22">
        <v>0.70250000000000001</v>
      </c>
      <c r="N22">
        <v>0.87719999999999998</v>
      </c>
      <c r="P22" t="s">
        <v>137</v>
      </c>
      <c r="Q22">
        <v>0.69210000000000005</v>
      </c>
      <c r="R22">
        <f>J22-Q22</f>
        <v>0</v>
      </c>
      <c r="T22" t="s">
        <v>137</v>
      </c>
      <c r="U22">
        <v>0.69210000000000005</v>
      </c>
      <c r="V22">
        <f>J22-U22</f>
        <v>0</v>
      </c>
    </row>
    <row r="23" spans="1:22" hidden="1" x14ac:dyDescent="0.3">
      <c r="A23">
        <v>21</v>
      </c>
      <c r="B23" t="s">
        <v>14</v>
      </c>
      <c r="C23" t="s">
        <v>15</v>
      </c>
      <c r="D23" t="s">
        <v>138</v>
      </c>
      <c r="E23" t="s">
        <v>139</v>
      </c>
      <c r="F23" t="s">
        <v>140</v>
      </c>
      <c r="G23" t="s">
        <v>141</v>
      </c>
      <c r="H23" t="s">
        <v>142</v>
      </c>
      <c r="I23" t="s">
        <v>143</v>
      </c>
      <c r="J23">
        <v>0.50129999999999997</v>
      </c>
      <c r="K23">
        <v>0.375</v>
      </c>
      <c r="L23">
        <v>0</v>
      </c>
      <c r="M23">
        <v>0.81789999999999996</v>
      </c>
      <c r="N23">
        <v>0.81230000000000002</v>
      </c>
      <c r="P23" t="s">
        <v>143</v>
      </c>
      <c r="Q23">
        <v>0.50129999999999997</v>
      </c>
      <c r="R23">
        <f>J23-Q23</f>
        <v>0</v>
      </c>
      <c r="T23" t="s">
        <v>143</v>
      </c>
      <c r="U23">
        <v>0.50129999999999997</v>
      </c>
      <c r="V23">
        <f>J23-U23</f>
        <v>0</v>
      </c>
    </row>
    <row r="24" spans="1:22" ht="409.5" x14ac:dyDescent="0.3">
      <c r="A24">
        <v>33</v>
      </c>
      <c r="B24" t="s">
        <v>14</v>
      </c>
      <c r="C24" t="s">
        <v>15</v>
      </c>
      <c r="D24" t="s">
        <v>204</v>
      </c>
      <c r="E24" t="s">
        <v>205</v>
      </c>
      <c r="F24" s="8" t="s">
        <v>206</v>
      </c>
      <c r="G24" t="s">
        <v>207</v>
      </c>
      <c r="H24" t="s">
        <v>208</v>
      </c>
      <c r="I24" t="s">
        <v>209</v>
      </c>
      <c r="J24">
        <v>0.81499999999999995</v>
      </c>
      <c r="K24">
        <v>0.89319999999999999</v>
      </c>
      <c r="L24">
        <v>0.63219999999999998</v>
      </c>
      <c r="M24">
        <v>0.80569999999999997</v>
      </c>
      <c r="N24">
        <v>0.92910000000000004</v>
      </c>
      <c r="P24" t="s">
        <v>209</v>
      </c>
      <c r="Q24">
        <v>0.81499999999999995</v>
      </c>
      <c r="R24">
        <f>J24-Q24</f>
        <v>0</v>
      </c>
      <c r="T24" t="s">
        <v>327</v>
      </c>
      <c r="U24">
        <v>0.86080000000000001</v>
      </c>
      <c r="V24">
        <f>J24-U24</f>
        <v>-4.5800000000000063E-2</v>
      </c>
    </row>
    <row r="25" spans="1:22" hidden="1" x14ac:dyDescent="0.3">
      <c r="A25">
        <v>23</v>
      </c>
      <c r="B25" t="s">
        <v>14</v>
      </c>
      <c r="C25" t="s">
        <v>15</v>
      </c>
      <c r="D25" t="s">
        <v>150</v>
      </c>
      <c r="E25" t="s">
        <v>151</v>
      </c>
      <c r="F25" t="s">
        <v>152</v>
      </c>
      <c r="G25" t="s">
        <v>153</v>
      </c>
      <c r="H25" t="s">
        <v>154</v>
      </c>
      <c r="I25" t="s">
        <v>154</v>
      </c>
      <c r="J25">
        <v>1</v>
      </c>
      <c r="K25">
        <v>1</v>
      </c>
      <c r="L25">
        <v>1</v>
      </c>
      <c r="M25">
        <v>0.99990000000000001</v>
      </c>
      <c r="N25">
        <v>1</v>
      </c>
      <c r="P25" t="s">
        <v>154</v>
      </c>
      <c r="Q25">
        <v>1</v>
      </c>
      <c r="R25">
        <f>J25-Q25</f>
        <v>0</v>
      </c>
      <c r="T25" t="s">
        <v>154</v>
      </c>
      <c r="U25">
        <v>1</v>
      </c>
      <c r="V25">
        <f>J25-U25</f>
        <v>0</v>
      </c>
    </row>
    <row r="26" spans="1:22" ht="266" x14ac:dyDescent="0.3">
      <c r="A26">
        <v>18</v>
      </c>
      <c r="B26" t="s">
        <v>14</v>
      </c>
      <c r="C26" t="s">
        <v>15</v>
      </c>
      <c r="D26" t="s">
        <v>120</v>
      </c>
      <c r="E26" t="s">
        <v>121</v>
      </c>
      <c r="F26" s="8" t="s">
        <v>122</v>
      </c>
      <c r="G26" t="s">
        <v>123</v>
      </c>
      <c r="H26" t="s">
        <v>124</v>
      </c>
      <c r="I26" t="s">
        <v>125</v>
      </c>
      <c r="J26">
        <v>0.71360000000000001</v>
      </c>
      <c r="K26">
        <v>0.73170000000000002</v>
      </c>
      <c r="L26">
        <v>0.57140000000000002</v>
      </c>
      <c r="M26">
        <v>0.68330000000000002</v>
      </c>
      <c r="N26">
        <v>0.86780000000000002</v>
      </c>
      <c r="P26" t="s">
        <v>125</v>
      </c>
      <c r="Q26">
        <v>0.71360000000000001</v>
      </c>
      <c r="R26">
        <f>J26-Q26</f>
        <v>0</v>
      </c>
      <c r="T26" t="s">
        <v>324</v>
      </c>
      <c r="U26">
        <v>0.70430000000000004</v>
      </c>
      <c r="V26">
        <f>J26-U26</f>
        <v>9.299999999999975E-3</v>
      </c>
    </row>
    <row r="27" spans="1:22" ht="280" x14ac:dyDescent="0.3">
      <c r="A27" s="5">
        <v>8</v>
      </c>
      <c r="B27" s="5" t="s">
        <v>14</v>
      </c>
      <c r="C27" s="5" t="s">
        <v>15</v>
      </c>
      <c r="D27" s="5" t="s">
        <v>61</v>
      </c>
      <c r="E27" s="5" t="s">
        <v>62</v>
      </c>
      <c r="F27" s="10" t="s">
        <v>63</v>
      </c>
      <c r="G27" s="5" t="s">
        <v>64</v>
      </c>
      <c r="H27" s="5" t="s">
        <v>65</v>
      </c>
      <c r="I27" s="5" t="s">
        <v>66</v>
      </c>
      <c r="J27" s="5">
        <v>0.47039999999999998</v>
      </c>
      <c r="K27" s="5">
        <v>0.75680000000000003</v>
      </c>
      <c r="L27" s="5">
        <v>0</v>
      </c>
      <c r="M27" s="5">
        <v>0.125</v>
      </c>
      <c r="N27" s="5">
        <v>1</v>
      </c>
      <c r="O27" s="5"/>
      <c r="P27" s="5" t="s">
        <v>303</v>
      </c>
      <c r="Q27" s="5">
        <v>0.43340000000000001</v>
      </c>
      <c r="R27" s="5">
        <f>J27-Q27</f>
        <v>3.6999999999999977E-2</v>
      </c>
      <c r="T27" t="s">
        <v>303</v>
      </c>
      <c r="U27">
        <v>0.43340000000000001</v>
      </c>
      <c r="V27">
        <f>J27-U27</f>
        <v>3.6999999999999977E-2</v>
      </c>
    </row>
    <row r="28" spans="1:22" hidden="1" x14ac:dyDescent="0.3">
      <c r="A28">
        <v>26</v>
      </c>
      <c r="B28" t="s">
        <v>14</v>
      </c>
      <c r="C28" t="s">
        <v>15</v>
      </c>
      <c r="D28" t="s">
        <v>163</v>
      </c>
      <c r="E28" t="s">
        <v>164</v>
      </c>
      <c r="F28" t="s">
        <v>165</v>
      </c>
      <c r="G28" t="s">
        <v>166</v>
      </c>
      <c r="H28" t="s">
        <v>167</v>
      </c>
      <c r="I28" t="s">
        <v>168</v>
      </c>
      <c r="J28">
        <v>0.22869999999999999</v>
      </c>
      <c r="K28">
        <v>0.1978</v>
      </c>
      <c r="L28">
        <v>0</v>
      </c>
      <c r="M28">
        <v>4.2900000000000001E-2</v>
      </c>
      <c r="N28">
        <v>0.67420000000000002</v>
      </c>
      <c r="P28" t="s">
        <v>168</v>
      </c>
      <c r="Q28">
        <v>0.22869999999999999</v>
      </c>
      <c r="R28">
        <f>J28-Q28</f>
        <v>0</v>
      </c>
      <c r="T28" t="s">
        <v>168</v>
      </c>
      <c r="U28">
        <v>0.22869999999999999</v>
      </c>
      <c r="V28">
        <f>J28-U28</f>
        <v>0</v>
      </c>
    </row>
    <row r="29" spans="1:22" hidden="1" x14ac:dyDescent="0.3">
      <c r="A29">
        <v>27</v>
      </c>
      <c r="B29" t="s">
        <v>14</v>
      </c>
      <c r="C29" t="s">
        <v>15</v>
      </c>
      <c r="D29" t="s">
        <v>169</v>
      </c>
      <c r="E29" t="s">
        <v>170</v>
      </c>
      <c r="F29" t="s">
        <v>171</v>
      </c>
      <c r="G29" t="s">
        <v>172</v>
      </c>
      <c r="H29" t="s">
        <v>173</v>
      </c>
      <c r="I29" t="s">
        <v>174</v>
      </c>
      <c r="J29">
        <v>0.73860000000000003</v>
      </c>
      <c r="K29">
        <v>0.74580000000000002</v>
      </c>
      <c r="L29">
        <v>0.55489999999999995</v>
      </c>
      <c r="M29">
        <v>0.75580000000000003</v>
      </c>
      <c r="N29">
        <v>0.89800000000000002</v>
      </c>
      <c r="P29" t="s">
        <v>174</v>
      </c>
      <c r="Q29">
        <v>0.73860000000000003</v>
      </c>
      <c r="R29">
        <f>J29-Q29</f>
        <v>0</v>
      </c>
      <c r="T29" t="s">
        <v>174</v>
      </c>
      <c r="U29">
        <v>0.73860000000000003</v>
      </c>
      <c r="V29">
        <f>J29-U29</f>
        <v>0</v>
      </c>
    </row>
    <row r="30" spans="1:22" hidden="1" x14ac:dyDescent="0.3">
      <c r="A30">
        <v>28</v>
      </c>
      <c r="B30" t="s">
        <v>14</v>
      </c>
      <c r="C30" t="s">
        <v>15</v>
      </c>
      <c r="D30" t="s">
        <v>175</v>
      </c>
      <c r="E30" t="s">
        <v>176</v>
      </c>
      <c r="F30" t="s">
        <v>177</v>
      </c>
      <c r="G30" t="s">
        <v>178</v>
      </c>
      <c r="H30" t="s">
        <v>179</v>
      </c>
      <c r="I30" t="s">
        <v>180</v>
      </c>
      <c r="J30">
        <v>0.84950000000000003</v>
      </c>
      <c r="K30">
        <v>0.90139999999999998</v>
      </c>
      <c r="L30">
        <v>0.6825</v>
      </c>
      <c r="M30">
        <v>0.85160000000000002</v>
      </c>
      <c r="N30">
        <v>0.96240000000000003</v>
      </c>
      <c r="P30" t="s">
        <v>180</v>
      </c>
      <c r="Q30">
        <v>0.84950000000000003</v>
      </c>
      <c r="R30">
        <f>J30-Q30</f>
        <v>0</v>
      </c>
      <c r="T30" t="s">
        <v>180</v>
      </c>
      <c r="U30">
        <v>0.84950000000000003</v>
      </c>
      <c r="V30">
        <f>J30-U30</f>
        <v>0</v>
      </c>
    </row>
    <row r="31" spans="1:22" hidden="1" x14ac:dyDescent="0.3">
      <c r="A31">
        <v>29</v>
      </c>
      <c r="B31" t="s">
        <v>14</v>
      </c>
      <c r="C31" t="s">
        <v>15</v>
      </c>
      <c r="D31" t="s">
        <v>181</v>
      </c>
      <c r="E31" t="s">
        <v>182</v>
      </c>
      <c r="F31" t="s">
        <v>183</v>
      </c>
      <c r="G31" t="s">
        <v>184</v>
      </c>
      <c r="H31" t="s">
        <v>185</v>
      </c>
      <c r="I31" t="s">
        <v>186</v>
      </c>
      <c r="J31">
        <v>0.93489999999999995</v>
      </c>
      <c r="K31">
        <v>0.95650000000000002</v>
      </c>
      <c r="L31">
        <v>0.84279999999999999</v>
      </c>
      <c r="M31">
        <v>0.94889999999999997</v>
      </c>
      <c r="N31">
        <v>0.99150000000000005</v>
      </c>
      <c r="P31" t="s">
        <v>186</v>
      </c>
      <c r="Q31">
        <v>0.93489999999999995</v>
      </c>
      <c r="R31">
        <f>J31-Q31</f>
        <v>0</v>
      </c>
      <c r="T31" t="s">
        <v>186</v>
      </c>
      <c r="U31">
        <v>0.93489999999999995</v>
      </c>
      <c r="V31">
        <f>J31-U31</f>
        <v>0</v>
      </c>
    </row>
    <row r="32" spans="1:22" ht="210" x14ac:dyDescent="0.3">
      <c r="A32">
        <v>48</v>
      </c>
      <c r="B32" t="s">
        <v>14</v>
      </c>
      <c r="C32" t="s">
        <v>15</v>
      </c>
      <c r="D32" t="s">
        <v>291</v>
      </c>
      <c r="E32" t="s">
        <v>292</v>
      </c>
      <c r="F32" s="8" t="s">
        <v>293</v>
      </c>
      <c r="G32" t="s">
        <v>294</v>
      </c>
      <c r="H32" t="s">
        <v>295</v>
      </c>
      <c r="I32" t="s">
        <v>296</v>
      </c>
      <c r="J32">
        <v>0.60829999999999995</v>
      </c>
      <c r="K32">
        <v>0.47220000000000001</v>
      </c>
      <c r="L32">
        <v>0.3075</v>
      </c>
      <c r="M32">
        <v>0.84730000000000005</v>
      </c>
      <c r="N32">
        <v>0.80630000000000002</v>
      </c>
      <c r="P32" t="s">
        <v>296</v>
      </c>
      <c r="Q32">
        <v>0.60829999999999995</v>
      </c>
      <c r="R32">
        <f>J32-Q32</f>
        <v>0</v>
      </c>
      <c r="T32" t="s">
        <v>330</v>
      </c>
      <c r="U32">
        <v>0.56779999999999997</v>
      </c>
      <c r="V32">
        <f>J32-U32</f>
        <v>4.049999999999998E-2</v>
      </c>
    </row>
    <row r="33" spans="1:22" hidden="1" x14ac:dyDescent="0.3">
      <c r="A33">
        <v>31</v>
      </c>
      <c r="B33" t="s">
        <v>14</v>
      </c>
      <c r="C33" t="s">
        <v>15</v>
      </c>
      <c r="D33" t="s">
        <v>193</v>
      </c>
      <c r="E33" t="s">
        <v>194</v>
      </c>
      <c r="F33" t="s">
        <v>195</v>
      </c>
      <c r="G33" t="s">
        <v>196</v>
      </c>
      <c r="H33" t="s">
        <v>197</v>
      </c>
      <c r="I33" t="s">
        <v>197</v>
      </c>
      <c r="J33">
        <v>1</v>
      </c>
      <c r="K33">
        <v>1</v>
      </c>
      <c r="L33">
        <v>1</v>
      </c>
      <c r="M33">
        <v>1</v>
      </c>
      <c r="N33">
        <v>1</v>
      </c>
      <c r="P33" t="s">
        <v>197</v>
      </c>
      <c r="Q33">
        <v>1</v>
      </c>
      <c r="R33">
        <f>J33-Q33</f>
        <v>0</v>
      </c>
      <c r="T33" t="s">
        <v>197</v>
      </c>
      <c r="U33">
        <v>1</v>
      </c>
      <c r="V33">
        <f>J33-U33</f>
        <v>0</v>
      </c>
    </row>
    <row r="34" spans="1:22" hidden="1" x14ac:dyDescent="0.3">
      <c r="A34">
        <v>32</v>
      </c>
      <c r="B34" t="s">
        <v>14</v>
      </c>
      <c r="C34" t="s">
        <v>15</v>
      </c>
      <c r="D34" t="s">
        <v>198</v>
      </c>
      <c r="E34" t="s">
        <v>199</v>
      </c>
      <c r="F34" t="s">
        <v>200</v>
      </c>
      <c r="G34" t="s">
        <v>201</v>
      </c>
      <c r="H34" t="s">
        <v>202</v>
      </c>
      <c r="I34" t="s">
        <v>203</v>
      </c>
      <c r="J34">
        <v>0.87560000000000004</v>
      </c>
      <c r="K34">
        <v>0.93330000000000002</v>
      </c>
      <c r="L34">
        <v>0.75339999999999996</v>
      </c>
      <c r="M34">
        <v>0.85680000000000001</v>
      </c>
      <c r="N34">
        <v>0.95909999999999995</v>
      </c>
      <c r="P34" t="s">
        <v>203</v>
      </c>
      <c r="Q34">
        <v>0.87560000000000004</v>
      </c>
      <c r="R34">
        <f>J34-Q34</f>
        <v>0</v>
      </c>
      <c r="T34" t="s">
        <v>203</v>
      </c>
      <c r="U34">
        <v>0.87560000000000004</v>
      </c>
      <c r="V34">
        <f>J34-U34</f>
        <v>0</v>
      </c>
    </row>
    <row r="35" spans="1:22" ht="140" x14ac:dyDescent="0.3">
      <c r="A35" s="5">
        <v>30</v>
      </c>
      <c r="B35" s="5" t="s">
        <v>14</v>
      </c>
      <c r="C35" s="5" t="s">
        <v>15</v>
      </c>
      <c r="D35" s="5" t="s">
        <v>187</v>
      </c>
      <c r="E35" s="5" t="s">
        <v>188</v>
      </c>
      <c r="F35" s="10" t="s">
        <v>189</v>
      </c>
      <c r="G35" s="5" t="s">
        <v>190</v>
      </c>
      <c r="H35" s="5" t="s">
        <v>191</v>
      </c>
      <c r="I35" s="5" t="s">
        <v>192</v>
      </c>
      <c r="J35" s="5">
        <v>0.65569999999999995</v>
      </c>
      <c r="K35" s="5">
        <v>0.6744</v>
      </c>
      <c r="L35" s="5">
        <v>0.4093</v>
      </c>
      <c r="M35" s="5">
        <v>0.66469999999999996</v>
      </c>
      <c r="N35" s="5">
        <v>0.87450000000000006</v>
      </c>
      <c r="O35" s="5"/>
      <c r="P35" s="5" t="s">
        <v>307</v>
      </c>
      <c r="Q35" s="5">
        <v>0.54559999999999997</v>
      </c>
      <c r="R35" s="5">
        <f>J35-Q35</f>
        <v>0.11009999999999998</v>
      </c>
      <c r="T35" t="s">
        <v>307</v>
      </c>
      <c r="U35">
        <v>0.54559999999999997</v>
      </c>
      <c r="V35">
        <f>J35-U35</f>
        <v>0.11009999999999998</v>
      </c>
    </row>
    <row r="36" spans="1:22" hidden="1" x14ac:dyDescent="0.3">
      <c r="A36">
        <v>34</v>
      </c>
      <c r="B36" t="s">
        <v>14</v>
      </c>
      <c r="C36" t="s">
        <v>15</v>
      </c>
      <c r="D36" t="s">
        <v>210</v>
      </c>
      <c r="E36" t="s">
        <v>211</v>
      </c>
      <c r="F36" t="s">
        <v>212</v>
      </c>
      <c r="G36" t="s">
        <v>213</v>
      </c>
      <c r="H36" t="s">
        <v>214</v>
      </c>
      <c r="I36" t="s">
        <v>215</v>
      </c>
      <c r="J36">
        <v>0.38990000000000002</v>
      </c>
      <c r="K36">
        <v>0.46279999999999999</v>
      </c>
      <c r="L36">
        <v>0.15809999999999999</v>
      </c>
      <c r="M36">
        <v>0.21379999999999999</v>
      </c>
      <c r="N36">
        <v>0.7248</v>
      </c>
      <c r="P36" t="s">
        <v>215</v>
      </c>
      <c r="Q36">
        <v>0.38990000000000002</v>
      </c>
      <c r="R36">
        <f>J36-Q36</f>
        <v>0</v>
      </c>
      <c r="T36" t="s">
        <v>215</v>
      </c>
      <c r="U36">
        <v>0.38990000000000002</v>
      </c>
      <c r="V36">
        <f>J36-U36</f>
        <v>0</v>
      </c>
    </row>
    <row r="37" spans="1:22" hidden="1" x14ac:dyDescent="0.3">
      <c r="A37">
        <v>35</v>
      </c>
      <c r="B37" t="s">
        <v>14</v>
      </c>
      <c r="C37" t="s">
        <v>15</v>
      </c>
      <c r="D37" t="s">
        <v>216</v>
      </c>
      <c r="E37" t="s">
        <v>217</v>
      </c>
      <c r="F37" t="s">
        <v>218</v>
      </c>
      <c r="G37" t="s">
        <v>217</v>
      </c>
      <c r="H37" t="s">
        <v>219</v>
      </c>
      <c r="I37" t="s">
        <v>220</v>
      </c>
      <c r="J37">
        <v>0.7984</v>
      </c>
      <c r="K37">
        <v>0.79520000000000002</v>
      </c>
      <c r="L37">
        <v>0.5948</v>
      </c>
      <c r="M37">
        <v>0.91220000000000001</v>
      </c>
      <c r="N37">
        <v>0.89119999999999999</v>
      </c>
      <c r="P37" t="s">
        <v>220</v>
      </c>
      <c r="Q37">
        <v>0.7984</v>
      </c>
      <c r="R37">
        <f>J37-Q37</f>
        <v>0</v>
      </c>
      <c r="T37" t="s">
        <v>220</v>
      </c>
      <c r="U37">
        <v>0.7984</v>
      </c>
      <c r="V37">
        <f>J37-U37</f>
        <v>0</v>
      </c>
    </row>
    <row r="38" spans="1:22" hidden="1" x14ac:dyDescent="0.3">
      <c r="A38" s="5">
        <v>36</v>
      </c>
      <c r="B38" s="5" t="s">
        <v>14</v>
      </c>
      <c r="C38" s="5" t="s">
        <v>15</v>
      </c>
      <c r="D38" s="5" t="s">
        <v>221</v>
      </c>
      <c r="E38" s="5" t="s">
        <v>222</v>
      </c>
      <c r="F38" s="5" t="s">
        <v>223</v>
      </c>
      <c r="G38" s="5" t="s">
        <v>224</v>
      </c>
      <c r="H38" s="5" t="s">
        <v>225</v>
      </c>
      <c r="I38" s="5" t="s">
        <v>226</v>
      </c>
      <c r="J38" s="5">
        <v>0.45219999999999999</v>
      </c>
      <c r="K38" s="5">
        <v>0.40910000000000002</v>
      </c>
      <c r="L38" s="5">
        <v>0.1133</v>
      </c>
      <c r="M38" s="5">
        <v>0.53210000000000002</v>
      </c>
      <c r="N38" s="5">
        <v>0.75429999999999997</v>
      </c>
      <c r="O38" s="5"/>
      <c r="P38" s="5" t="s">
        <v>308</v>
      </c>
      <c r="Q38" s="5">
        <v>0.43440000000000001</v>
      </c>
      <c r="R38" s="5">
        <f>J38-Q38</f>
        <v>1.7799999999999983E-2</v>
      </c>
      <c r="T38" t="s">
        <v>226</v>
      </c>
      <c r="U38">
        <v>0.45219999999999999</v>
      </c>
      <c r="V38">
        <f>J38-U38</f>
        <v>0</v>
      </c>
    </row>
    <row r="39" spans="1:22" hidden="1" x14ac:dyDescent="0.3">
      <c r="A39">
        <v>37</v>
      </c>
      <c r="B39" t="s">
        <v>14</v>
      </c>
      <c r="C39" t="s">
        <v>15</v>
      </c>
      <c r="D39" t="s">
        <v>227</v>
      </c>
      <c r="E39" t="s">
        <v>228</v>
      </c>
      <c r="F39" t="s">
        <v>229</v>
      </c>
      <c r="G39" t="s">
        <v>230</v>
      </c>
      <c r="H39" t="s">
        <v>231</v>
      </c>
      <c r="I39" t="s">
        <v>232</v>
      </c>
      <c r="J39">
        <v>0.75580000000000003</v>
      </c>
      <c r="K39">
        <v>0.75</v>
      </c>
      <c r="L39">
        <v>0.4849</v>
      </c>
      <c r="M39">
        <v>0.9</v>
      </c>
      <c r="N39">
        <v>0.88839999999999997</v>
      </c>
      <c r="P39" t="s">
        <v>232</v>
      </c>
      <c r="Q39">
        <v>0.75580000000000003</v>
      </c>
      <c r="R39">
        <f>J39-Q39</f>
        <v>0</v>
      </c>
      <c r="T39" t="s">
        <v>232</v>
      </c>
      <c r="U39">
        <v>0.75580000000000003</v>
      </c>
      <c r="V39">
        <f>J39-U39</f>
        <v>0</v>
      </c>
    </row>
    <row r="40" spans="1:22" hidden="1" x14ac:dyDescent="0.3">
      <c r="A40">
        <v>38</v>
      </c>
      <c r="B40" t="s">
        <v>14</v>
      </c>
      <c r="C40" t="s">
        <v>15</v>
      </c>
      <c r="D40" t="s">
        <v>233</v>
      </c>
      <c r="E40" t="s">
        <v>234</v>
      </c>
      <c r="F40" t="s">
        <v>235</v>
      </c>
      <c r="G40" t="s">
        <v>236</v>
      </c>
      <c r="H40" t="s">
        <v>237</v>
      </c>
      <c r="I40" t="s">
        <v>238</v>
      </c>
      <c r="J40">
        <v>0.23769999999999999</v>
      </c>
      <c r="K40">
        <v>0.15379999999999999</v>
      </c>
      <c r="L40">
        <v>0</v>
      </c>
      <c r="M40">
        <v>7.46E-2</v>
      </c>
      <c r="N40">
        <v>0.72240000000000004</v>
      </c>
      <c r="P40" t="s">
        <v>238</v>
      </c>
      <c r="Q40">
        <v>0.23769999999999999</v>
      </c>
      <c r="R40">
        <f>J40-Q40</f>
        <v>0</v>
      </c>
      <c r="T40" t="s">
        <v>238</v>
      </c>
      <c r="U40">
        <v>0.23769999999999999</v>
      </c>
      <c r="V40">
        <f>J40-U40</f>
        <v>0</v>
      </c>
    </row>
    <row r="41" spans="1:22" hidden="1" x14ac:dyDescent="0.3">
      <c r="A41">
        <v>39</v>
      </c>
      <c r="B41" t="s">
        <v>14</v>
      </c>
      <c r="C41" t="s">
        <v>15</v>
      </c>
      <c r="D41" t="s">
        <v>239</v>
      </c>
      <c r="E41" t="s">
        <v>240</v>
      </c>
      <c r="F41" t="s">
        <v>241</v>
      </c>
      <c r="G41" t="s">
        <v>242</v>
      </c>
      <c r="H41" t="s">
        <v>243</v>
      </c>
      <c r="I41" t="s">
        <v>244</v>
      </c>
      <c r="J41">
        <v>0.50670000000000004</v>
      </c>
      <c r="K41">
        <v>0.57779999999999998</v>
      </c>
      <c r="L41">
        <v>0</v>
      </c>
      <c r="M41">
        <v>0.59430000000000005</v>
      </c>
      <c r="N41">
        <v>0.8548</v>
      </c>
      <c r="P41" t="s">
        <v>244</v>
      </c>
      <c r="Q41">
        <v>0.50670000000000004</v>
      </c>
      <c r="R41">
        <f>J41-Q41</f>
        <v>0</v>
      </c>
      <c r="T41" t="s">
        <v>244</v>
      </c>
      <c r="U41">
        <v>0.50670000000000004</v>
      </c>
      <c r="V41">
        <f>J41-U41</f>
        <v>0</v>
      </c>
    </row>
    <row r="42" spans="1:22" hidden="1" x14ac:dyDescent="0.3">
      <c r="A42">
        <v>40</v>
      </c>
      <c r="B42" t="s">
        <v>14</v>
      </c>
      <c r="C42" t="s">
        <v>15</v>
      </c>
      <c r="D42" t="s">
        <v>245</v>
      </c>
      <c r="E42" t="s">
        <v>246</v>
      </c>
      <c r="F42" t="s">
        <v>247</v>
      </c>
      <c r="G42" t="s">
        <v>248</v>
      </c>
      <c r="H42" t="s">
        <v>249</v>
      </c>
      <c r="I42" t="s">
        <v>250</v>
      </c>
      <c r="J42">
        <v>0.6946</v>
      </c>
      <c r="K42">
        <v>0.77270000000000005</v>
      </c>
      <c r="L42">
        <v>0.4834</v>
      </c>
      <c r="M42">
        <v>0.63429999999999997</v>
      </c>
      <c r="N42">
        <v>0.88819999999999999</v>
      </c>
      <c r="P42" t="s">
        <v>250</v>
      </c>
      <c r="Q42">
        <v>0.6946</v>
      </c>
      <c r="R42">
        <f>J42-Q42</f>
        <v>0</v>
      </c>
      <c r="T42" t="s">
        <v>250</v>
      </c>
      <c r="U42">
        <v>0.6946</v>
      </c>
      <c r="V42">
        <f>J42-U42</f>
        <v>0</v>
      </c>
    </row>
    <row r="43" spans="1:22" hidden="1" x14ac:dyDescent="0.3">
      <c r="A43">
        <v>41</v>
      </c>
      <c r="B43" t="s">
        <v>14</v>
      </c>
      <c r="C43" t="s">
        <v>15</v>
      </c>
      <c r="D43" t="s">
        <v>251</v>
      </c>
      <c r="E43" t="s">
        <v>252</v>
      </c>
      <c r="F43" t="s">
        <v>253</v>
      </c>
      <c r="G43" t="s">
        <v>254</v>
      </c>
      <c r="H43" t="s">
        <v>255</v>
      </c>
      <c r="I43" t="s">
        <v>255</v>
      </c>
      <c r="J43">
        <v>1</v>
      </c>
      <c r="K43">
        <v>1</v>
      </c>
      <c r="L43">
        <v>1</v>
      </c>
      <c r="M43">
        <v>0.99990000000000001</v>
      </c>
      <c r="N43">
        <v>1</v>
      </c>
      <c r="P43" t="s">
        <v>255</v>
      </c>
      <c r="Q43">
        <v>1</v>
      </c>
      <c r="R43">
        <f>J43-Q43</f>
        <v>0</v>
      </c>
      <c r="T43" t="s">
        <v>255</v>
      </c>
      <c r="U43">
        <v>1</v>
      </c>
      <c r="V43">
        <f>J43-U43</f>
        <v>0</v>
      </c>
    </row>
    <row r="44" spans="1:22" hidden="1" x14ac:dyDescent="0.3">
      <c r="A44">
        <v>42</v>
      </c>
      <c r="B44" t="s">
        <v>14</v>
      </c>
      <c r="C44" t="s">
        <v>15</v>
      </c>
      <c r="D44" t="s">
        <v>256</v>
      </c>
      <c r="E44" t="s">
        <v>257</v>
      </c>
      <c r="F44" t="s">
        <v>258</v>
      </c>
      <c r="G44" t="s">
        <v>259</v>
      </c>
      <c r="H44" t="s">
        <v>260</v>
      </c>
      <c r="I44" t="s">
        <v>261</v>
      </c>
      <c r="J44">
        <v>0.77500000000000002</v>
      </c>
      <c r="K44">
        <v>0.85709999999999997</v>
      </c>
      <c r="L44">
        <v>0.49890000000000001</v>
      </c>
      <c r="M44">
        <v>0.77829999999999999</v>
      </c>
      <c r="N44">
        <v>0.96560000000000001</v>
      </c>
      <c r="P44" t="s">
        <v>261</v>
      </c>
      <c r="Q44">
        <v>0.77500000000000002</v>
      </c>
      <c r="R44">
        <f>J44-Q44</f>
        <v>0</v>
      </c>
      <c r="T44" t="s">
        <v>261</v>
      </c>
      <c r="U44">
        <v>0.77500000000000002</v>
      </c>
      <c r="V44">
        <f>J44-U44</f>
        <v>0</v>
      </c>
    </row>
    <row r="45" spans="1:22" ht="409.5" x14ac:dyDescent="0.3">
      <c r="A45" s="5">
        <v>11</v>
      </c>
      <c r="B45" s="5" t="s">
        <v>14</v>
      </c>
      <c r="C45" s="5" t="s">
        <v>15</v>
      </c>
      <c r="D45" s="5" t="s">
        <v>79</v>
      </c>
      <c r="E45" s="5" t="s">
        <v>80</v>
      </c>
      <c r="F45" s="10" t="s">
        <v>81</v>
      </c>
      <c r="G45" s="5" t="s">
        <v>82</v>
      </c>
      <c r="H45" s="5" t="s">
        <v>83</v>
      </c>
      <c r="I45" s="5" t="s">
        <v>84</v>
      </c>
      <c r="J45" s="5">
        <v>0.52900000000000003</v>
      </c>
      <c r="K45" s="5">
        <v>0.46579999999999999</v>
      </c>
      <c r="L45" s="5">
        <v>0.24529999999999999</v>
      </c>
      <c r="M45" s="5">
        <v>0.59489999999999998</v>
      </c>
      <c r="N45" s="5">
        <v>0.80979999999999996</v>
      </c>
      <c r="O45" s="5"/>
      <c r="P45" s="5" t="s">
        <v>304</v>
      </c>
      <c r="Q45" s="5">
        <v>0.53239999999999998</v>
      </c>
      <c r="R45" s="5">
        <f>J45-Q45</f>
        <v>-3.3999999999999586E-3</v>
      </c>
      <c r="T45" t="s">
        <v>322</v>
      </c>
      <c r="U45">
        <v>0.35360000000000003</v>
      </c>
      <c r="V45">
        <f>J45-U45</f>
        <v>0.1754</v>
      </c>
    </row>
    <row r="46" spans="1:22" hidden="1" x14ac:dyDescent="0.3">
      <c r="A46" s="5">
        <v>44</v>
      </c>
      <c r="B46" s="5" t="s">
        <v>14</v>
      </c>
      <c r="C46" s="5" t="s">
        <v>15</v>
      </c>
      <c r="D46" s="5" t="s">
        <v>267</v>
      </c>
      <c r="E46" s="5" t="s">
        <v>268</v>
      </c>
      <c r="F46" s="5" t="s">
        <v>269</v>
      </c>
      <c r="G46" s="5" t="s">
        <v>270</v>
      </c>
      <c r="H46" s="5" t="s">
        <v>271</v>
      </c>
      <c r="I46" s="5" t="s">
        <v>272</v>
      </c>
      <c r="J46" s="5">
        <v>0.63590000000000002</v>
      </c>
      <c r="K46" s="5">
        <v>0.67610000000000003</v>
      </c>
      <c r="L46" s="5">
        <v>0.41360000000000002</v>
      </c>
      <c r="M46" s="5">
        <v>0.5675</v>
      </c>
      <c r="N46" s="5">
        <v>0.88639999999999997</v>
      </c>
      <c r="O46" s="5"/>
      <c r="P46" s="5" t="s">
        <v>310</v>
      </c>
      <c r="Q46" s="5">
        <v>0.4158</v>
      </c>
      <c r="R46" s="5">
        <f>J46-Q46</f>
        <v>0.22010000000000002</v>
      </c>
      <c r="T46" t="s">
        <v>272</v>
      </c>
      <c r="U46">
        <v>0.63590000000000002</v>
      </c>
      <c r="V46">
        <f>J46-U46</f>
        <v>0</v>
      </c>
    </row>
    <row r="47" spans="1:22" ht="168" x14ac:dyDescent="0.3">
      <c r="A47" s="5">
        <v>25</v>
      </c>
      <c r="B47" s="5" t="s">
        <v>14</v>
      </c>
      <c r="C47" s="5" t="s">
        <v>15</v>
      </c>
      <c r="D47" s="5" t="s">
        <v>158</v>
      </c>
      <c r="E47" s="5" t="s">
        <v>159</v>
      </c>
      <c r="F47" s="10" t="s">
        <v>160</v>
      </c>
      <c r="G47" s="5" t="s">
        <v>161</v>
      </c>
      <c r="H47" s="5" t="s">
        <v>162</v>
      </c>
      <c r="I47" s="5" t="s">
        <v>162</v>
      </c>
      <c r="J47" s="5">
        <v>1</v>
      </c>
      <c r="K47" s="5">
        <v>1</v>
      </c>
      <c r="L47" s="5">
        <v>1</v>
      </c>
      <c r="M47" s="5">
        <v>1</v>
      </c>
      <c r="N47" s="5">
        <v>1</v>
      </c>
      <c r="O47" s="5"/>
      <c r="P47" s="5" t="s">
        <v>306</v>
      </c>
      <c r="Q47" s="5">
        <v>0.69359999999999999</v>
      </c>
      <c r="R47" s="5">
        <f>J47-Q47</f>
        <v>0.30640000000000001</v>
      </c>
      <c r="T47" t="s">
        <v>306</v>
      </c>
      <c r="U47">
        <v>0.69359999999999999</v>
      </c>
      <c r="V47">
        <f>J47-U47</f>
        <v>0.30640000000000001</v>
      </c>
    </row>
    <row r="48" spans="1:22" hidden="1" x14ac:dyDescent="0.3">
      <c r="A48">
        <v>46</v>
      </c>
      <c r="B48" t="s">
        <v>14</v>
      </c>
      <c r="C48" t="s">
        <v>15</v>
      </c>
      <c r="D48" t="s">
        <v>279</v>
      </c>
      <c r="E48" t="s">
        <v>280</v>
      </c>
      <c r="F48" t="s">
        <v>281</v>
      </c>
      <c r="G48" t="s">
        <v>282</v>
      </c>
      <c r="H48" t="s">
        <v>283</v>
      </c>
      <c r="I48" t="s">
        <v>284</v>
      </c>
      <c r="J48">
        <v>0.66510000000000002</v>
      </c>
      <c r="K48">
        <v>0.73909999999999998</v>
      </c>
      <c r="L48">
        <v>0.4572</v>
      </c>
      <c r="M48">
        <v>0.55459999999999998</v>
      </c>
      <c r="N48">
        <v>0.90959999999999996</v>
      </c>
      <c r="P48" t="s">
        <v>284</v>
      </c>
      <c r="Q48">
        <v>0.66510000000000002</v>
      </c>
      <c r="R48">
        <f>J48-Q48</f>
        <v>0</v>
      </c>
      <c r="T48" t="s">
        <v>284</v>
      </c>
      <c r="U48">
        <v>0.66510000000000002</v>
      </c>
      <c r="V48">
        <f>J48-U48</f>
        <v>0</v>
      </c>
    </row>
    <row r="49" spans="1:22" ht="294" x14ac:dyDescent="0.3">
      <c r="A49" s="5">
        <v>43</v>
      </c>
      <c r="B49" s="5" t="s">
        <v>14</v>
      </c>
      <c r="C49" s="5" t="s">
        <v>15</v>
      </c>
      <c r="D49" s="5" t="s">
        <v>262</v>
      </c>
      <c r="E49" s="5" t="s">
        <v>263</v>
      </c>
      <c r="F49" s="10" t="s">
        <v>264</v>
      </c>
      <c r="G49" s="5" t="s">
        <v>265</v>
      </c>
      <c r="H49" s="5" t="s">
        <v>266</v>
      </c>
      <c r="I49" s="5" t="s">
        <v>312</v>
      </c>
      <c r="J49" s="5">
        <v>0.96740000000000004</v>
      </c>
      <c r="K49" s="5">
        <v>1</v>
      </c>
      <c r="L49" s="5">
        <v>0.88949999999999996</v>
      </c>
      <c r="M49" s="5">
        <v>0.99560000000000004</v>
      </c>
      <c r="N49" s="5">
        <v>0.98429999999999995</v>
      </c>
      <c r="O49" s="5"/>
      <c r="P49" s="5" t="s">
        <v>309</v>
      </c>
      <c r="Q49" s="5">
        <v>0.60060000000000002</v>
      </c>
      <c r="R49" s="5">
        <f>J49-Q49</f>
        <v>0.36680000000000001</v>
      </c>
      <c r="T49" t="s">
        <v>309</v>
      </c>
      <c r="U49">
        <v>0.60060000000000002</v>
      </c>
      <c r="V49">
        <f>J49-U49</f>
        <v>0.36680000000000001</v>
      </c>
    </row>
    <row r="50" spans="1:22" ht="409.5" x14ac:dyDescent="0.3">
      <c r="A50">
        <v>47</v>
      </c>
      <c r="B50" t="s">
        <v>14</v>
      </c>
      <c r="C50" t="s">
        <v>15</v>
      </c>
      <c r="D50" t="s">
        <v>285</v>
      </c>
      <c r="E50" t="s">
        <v>286</v>
      </c>
      <c r="F50" s="8" t="s">
        <v>287</v>
      </c>
      <c r="G50" t="s">
        <v>288</v>
      </c>
      <c r="H50" t="s">
        <v>289</v>
      </c>
      <c r="I50" t="s">
        <v>290</v>
      </c>
      <c r="J50">
        <v>0.87709999999999999</v>
      </c>
      <c r="K50">
        <v>0.91979999999999995</v>
      </c>
      <c r="L50">
        <v>0.81620000000000004</v>
      </c>
      <c r="M50">
        <v>0.82320000000000004</v>
      </c>
      <c r="N50">
        <v>0.94920000000000004</v>
      </c>
      <c r="P50" t="s">
        <v>290</v>
      </c>
      <c r="Q50">
        <v>0.87709999999999999</v>
      </c>
      <c r="R50">
        <f>J50-Q50</f>
        <v>0</v>
      </c>
      <c r="T50" t="s">
        <v>329</v>
      </c>
      <c r="U50">
        <v>0.2772</v>
      </c>
      <c r="V50">
        <f>J50-U50</f>
        <v>0.59989999999999999</v>
      </c>
    </row>
    <row r="51" spans="1:22" hidden="1" x14ac:dyDescent="0.3">
      <c r="A51">
        <v>49</v>
      </c>
      <c r="B51" t="s">
        <v>14</v>
      </c>
      <c r="C51" t="s">
        <v>15</v>
      </c>
      <c r="D51" t="s">
        <v>297</v>
      </c>
      <c r="E51" t="s">
        <v>298</v>
      </c>
      <c r="F51" t="s">
        <v>299</v>
      </c>
      <c r="G51" t="s">
        <v>300</v>
      </c>
      <c r="H51" t="s">
        <v>301</v>
      </c>
      <c r="I51" t="s">
        <v>301</v>
      </c>
      <c r="J51">
        <v>0.99980000000000002</v>
      </c>
      <c r="K51">
        <v>1</v>
      </c>
      <c r="L51">
        <v>1</v>
      </c>
      <c r="M51">
        <v>0.99929999999999997</v>
      </c>
      <c r="N51">
        <v>1</v>
      </c>
      <c r="P51" t="s">
        <v>301</v>
      </c>
      <c r="Q51">
        <v>0.99980000000000002</v>
      </c>
      <c r="R51">
        <f>J51-Q51</f>
        <v>0</v>
      </c>
      <c r="T51" t="s">
        <v>301</v>
      </c>
      <c r="U51">
        <v>0.99980000000000002</v>
      </c>
      <c r="V51">
        <f>J51-U51</f>
        <v>0</v>
      </c>
    </row>
    <row r="52" spans="1:22" x14ac:dyDescent="0.3">
      <c r="A52" s="5"/>
      <c r="B52" s="5"/>
      <c r="C52" s="5"/>
      <c r="D52" s="5"/>
      <c r="E52" s="5"/>
      <c r="F52" s="10"/>
      <c r="G52" s="5"/>
      <c r="H52" s="5"/>
      <c r="I52" s="5"/>
      <c r="J52" s="6">
        <f>AVERAGE(J7,J10,J13,J17,J24,J27,J32,J38,J45,J46)</f>
        <v>0.5878000000000001</v>
      </c>
      <c r="K52" s="5"/>
      <c r="L52" s="5"/>
      <c r="M52" s="5"/>
      <c r="N52" s="5"/>
      <c r="O52" s="5"/>
      <c r="P52" s="5"/>
      <c r="Q52" s="6">
        <f>AVERAGE(Q7,Q10,Q13,Q17,Q24,Q27,Q32,Q38,Q45,Q46)</f>
        <v>0.58745999999999998</v>
      </c>
      <c r="R52" s="5"/>
    </row>
    <row r="54" spans="1:22" x14ac:dyDescent="0.3">
      <c r="A54" s="1" t="s">
        <v>0</v>
      </c>
      <c r="B54" s="1" t="s">
        <v>1</v>
      </c>
      <c r="C54" s="1" t="s">
        <v>2</v>
      </c>
      <c r="D54" s="1" t="s">
        <v>3</v>
      </c>
      <c r="E54" s="1" t="s">
        <v>4</v>
      </c>
      <c r="F54" s="11" t="s">
        <v>5</v>
      </c>
      <c r="G54" s="1" t="s">
        <v>6</v>
      </c>
      <c r="H54" s="1" t="s">
        <v>7</v>
      </c>
      <c r="I54" s="1" t="s">
        <v>8</v>
      </c>
      <c r="J54" s="1" t="s">
        <v>9</v>
      </c>
      <c r="K54" s="1" t="s">
        <v>10</v>
      </c>
      <c r="L54" s="1" t="s">
        <v>11</v>
      </c>
      <c r="M54" s="1" t="s">
        <v>12</v>
      </c>
      <c r="N54" s="1" t="s">
        <v>13</v>
      </c>
      <c r="P54" t="s">
        <v>313</v>
      </c>
      <c r="Q54" t="s">
        <v>314</v>
      </c>
      <c r="R54" t="s">
        <v>311</v>
      </c>
    </row>
    <row r="55" spans="1:22" ht="409.5" x14ac:dyDescent="0.3">
      <c r="A55">
        <v>15</v>
      </c>
      <c r="B55" t="s">
        <v>14</v>
      </c>
      <c r="C55" t="s">
        <v>15</v>
      </c>
      <c r="D55" t="s">
        <v>102</v>
      </c>
      <c r="E55" t="s">
        <v>103</v>
      </c>
      <c r="F55" s="8" t="s">
        <v>104</v>
      </c>
      <c r="G55" t="s">
        <v>105</v>
      </c>
      <c r="H55" s="2" t="s">
        <v>106</v>
      </c>
      <c r="I55" t="s">
        <v>107</v>
      </c>
      <c r="J55">
        <v>0.81520000000000004</v>
      </c>
      <c r="K55">
        <v>0.91669999999999996</v>
      </c>
      <c r="L55">
        <v>0.62780000000000002</v>
      </c>
      <c r="M55">
        <v>0.76829999999999998</v>
      </c>
      <c r="N55">
        <v>0.94799999999999995</v>
      </c>
      <c r="P55" t="s">
        <v>106</v>
      </c>
      <c r="Q55">
        <v>1</v>
      </c>
      <c r="R55">
        <v>-0.18479999999999996</v>
      </c>
    </row>
    <row r="56" spans="1:22" ht="409.5" x14ac:dyDescent="0.3">
      <c r="A56">
        <v>22</v>
      </c>
      <c r="B56" t="s">
        <v>14</v>
      </c>
      <c r="C56" t="s">
        <v>15</v>
      </c>
      <c r="D56" t="s">
        <v>144</v>
      </c>
      <c r="E56" t="s">
        <v>145</v>
      </c>
      <c r="F56" s="8" t="s">
        <v>146</v>
      </c>
      <c r="G56" t="s">
        <v>147</v>
      </c>
      <c r="H56" t="s">
        <v>148</v>
      </c>
      <c r="I56" t="s">
        <v>149</v>
      </c>
      <c r="J56">
        <v>0.54049999999999998</v>
      </c>
      <c r="K56">
        <v>0.56720000000000004</v>
      </c>
      <c r="L56">
        <v>0.30690000000000001</v>
      </c>
      <c r="M56">
        <v>0.46970000000000001</v>
      </c>
      <c r="N56">
        <v>0.81810000000000005</v>
      </c>
      <c r="P56" t="s">
        <v>305</v>
      </c>
      <c r="Q56">
        <v>0.62380000000000002</v>
      </c>
      <c r="R56">
        <v>-8.3300000000000041E-2</v>
      </c>
    </row>
    <row r="57" spans="1:22" ht="409.5" x14ac:dyDescent="0.3">
      <c r="A57">
        <v>5</v>
      </c>
      <c r="B57" t="s">
        <v>14</v>
      </c>
      <c r="C57" t="s">
        <v>15</v>
      </c>
      <c r="D57" t="s">
        <v>43</v>
      </c>
      <c r="E57" t="s">
        <v>44</v>
      </c>
      <c r="F57" s="8" t="s">
        <v>45</v>
      </c>
      <c r="G57" t="s">
        <v>46</v>
      </c>
      <c r="H57" t="s">
        <v>47</v>
      </c>
      <c r="I57" t="s">
        <v>48</v>
      </c>
      <c r="J57">
        <v>0.40939999999999999</v>
      </c>
      <c r="K57">
        <v>0.54049999999999998</v>
      </c>
      <c r="L57">
        <v>0</v>
      </c>
      <c r="M57">
        <v>0.30030000000000001</v>
      </c>
      <c r="N57">
        <v>0.79690000000000005</v>
      </c>
      <c r="P57" t="s">
        <v>315</v>
      </c>
      <c r="Q57">
        <v>0.4592</v>
      </c>
      <c r="R57">
        <v>-9.8000000000000309E-3</v>
      </c>
    </row>
    <row r="58" spans="1:22" ht="409.5" x14ac:dyDescent="0.3">
      <c r="A58">
        <v>11</v>
      </c>
      <c r="B58" t="s">
        <v>14</v>
      </c>
      <c r="C58" t="s">
        <v>15</v>
      </c>
      <c r="D58" t="s">
        <v>79</v>
      </c>
      <c r="E58" t="s">
        <v>80</v>
      </c>
      <c r="F58" s="8" t="s">
        <v>81</v>
      </c>
      <c r="G58" t="s">
        <v>82</v>
      </c>
      <c r="H58" t="s">
        <v>83</v>
      </c>
      <c r="I58" t="s">
        <v>84</v>
      </c>
      <c r="J58">
        <v>0.52900000000000003</v>
      </c>
      <c r="K58">
        <v>0.46579999999999999</v>
      </c>
      <c r="L58">
        <v>0.24529999999999999</v>
      </c>
      <c r="M58">
        <v>0.59489999999999998</v>
      </c>
      <c r="N58">
        <v>0.80979999999999996</v>
      </c>
      <c r="P58" t="s">
        <v>316</v>
      </c>
      <c r="Q58">
        <v>0.55049999999999999</v>
      </c>
      <c r="R58">
        <v>-3.3999999999999586E-3</v>
      </c>
    </row>
    <row r="59" spans="1:22" ht="322" x14ac:dyDescent="0.3">
      <c r="A59">
        <v>36</v>
      </c>
      <c r="B59" t="s">
        <v>14</v>
      </c>
      <c r="C59" t="s">
        <v>15</v>
      </c>
      <c r="D59" t="s">
        <v>221</v>
      </c>
      <c r="E59" t="s">
        <v>222</v>
      </c>
      <c r="F59" s="8" t="s">
        <v>223</v>
      </c>
      <c r="G59" t="s">
        <v>224</v>
      </c>
      <c r="H59" t="s">
        <v>225</v>
      </c>
      <c r="I59" t="s">
        <v>226</v>
      </c>
      <c r="J59">
        <v>0.45219999999999999</v>
      </c>
      <c r="K59">
        <v>0.40910000000000002</v>
      </c>
      <c r="L59">
        <v>0.1133</v>
      </c>
      <c r="M59">
        <v>0.53210000000000002</v>
      </c>
      <c r="N59">
        <v>0.75429999999999997</v>
      </c>
      <c r="P59" t="s">
        <v>226</v>
      </c>
      <c r="Q59">
        <v>0.45219999999999999</v>
      </c>
      <c r="R59">
        <v>1.7799999999999983E-2</v>
      </c>
    </row>
    <row r="60" spans="1:22" ht="280" x14ac:dyDescent="0.3">
      <c r="A60">
        <v>8</v>
      </c>
      <c r="B60" t="s">
        <v>14</v>
      </c>
      <c r="C60" t="s">
        <v>15</v>
      </c>
      <c r="D60" t="s">
        <v>61</v>
      </c>
      <c r="E60" t="s">
        <v>62</v>
      </c>
      <c r="F60" s="8" t="s">
        <v>63</v>
      </c>
      <c r="G60" t="s">
        <v>64</v>
      </c>
      <c r="H60" t="s">
        <v>65</v>
      </c>
      <c r="I60" t="s">
        <v>66</v>
      </c>
      <c r="J60">
        <v>0.47039999999999998</v>
      </c>
      <c r="K60">
        <v>0.75680000000000003</v>
      </c>
      <c r="L60">
        <v>0</v>
      </c>
      <c r="M60">
        <v>0.125</v>
      </c>
      <c r="N60">
        <v>1</v>
      </c>
      <c r="P60" t="s">
        <v>303</v>
      </c>
      <c r="Q60">
        <v>0.43340000000000001</v>
      </c>
      <c r="R60">
        <v>3.6999999999999977E-2</v>
      </c>
    </row>
    <row r="61" spans="1:22" ht="140" x14ac:dyDescent="0.3">
      <c r="A61">
        <v>30</v>
      </c>
      <c r="B61" t="s">
        <v>14</v>
      </c>
      <c r="C61" t="s">
        <v>15</v>
      </c>
      <c r="D61" t="s">
        <v>187</v>
      </c>
      <c r="E61" t="s">
        <v>188</v>
      </c>
      <c r="F61" s="8" t="s">
        <v>189</v>
      </c>
      <c r="G61" t="s">
        <v>190</v>
      </c>
      <c r="H61" t="s">
        <v>191</v>
      </c>
      <c r="I61" t="s">
        <v>192</v>
      </c>
      <c r="J61">
        <v>0.65569999999999995</v>
      </c>
      <c r="K61">
        <v>0.6744</v>
      </c>
      <c r="L61">
        <v>0.4093</v>
      </c>
      <c r="M61">
        <v>0.66469999999999996</v>
      </c>
      <c r="N61">
        <v>0.87450000000000006</v>
      </c>
      <c r="P61" t="s">
        <v>307</v>
      </c>
      <c r="Q61">
        <v>0.54559999999999997</v>
      </c>
      <c r="R61">
        <v>0.11009999999999998</v>
      </c>
    </row>
    <row r="62" spans="1:22" ht="224" x14ac:dyDescent="0.3">
      <c r="A62">
        <v>44</v>
      </c>
      <c r="B62" t="s">
        <v>14</v>
      </c>
      <c r="C62" t="s">
        <v>15</v>
      </c>
      <c r="D62" t="s">
        <v>267</v>
      </c>
      <c r="E62" t="s">
        <v>268</v>
      </c>
      <c r="F62" s="8" t="s">
        <v>269</v>
      </c>
      <c r="G62" t="s">
        <v>270</v>
      </c>
      <c r="H62" t="s">
        <v>271</v>
      </c>
      <c r="I62" t="s">
        <v>272</v>
      </c>
      <c r="J62">
        <v>0.63590000000000002</v>
      </c>
      <c r="K62">
        <v>0.67610000000000003</v>
      </c>
      <c r="L62">
        <v>0.41360000000000002</v>
      </c>
      <c r="M62">
        <v>0.5675</v>
      </c>
      <c r="N62">
        <v>0.88639999999999997</v>
      </c>
      <c r="P62" t="s">
        <v>272</v>
      </c>
      <c r="Q62">
        <v>0.63590000000000002</v>
      </c>
      <c r="R62">
        <v>0.22010000000000002</v>
      </c>
    </row>
    <row r="63" spans="1:22" ht="168" x14ac:dyDescent="0.3">
      <c r="A63">
        <v>25</v>
      </c>
      <c r="B63" t="s">
        <v>14</v>
      </c>
      <c r="C63" t="s">
        <v>15</v>
      </c>
      <c r="D63" t="s">
        <v>158</v>
      </c>
      <c r="E63" t="s">
        <v>159</v>
      </c>
      <c r="F63" s="8" t="s">
        <v>160</v>
      </c>
      <c r="G63" t="s">
        <v>161</v>
      </c>
      <c r="H63" t="s">
        <v>162</v>
      </c>
      <c r="I63" t="s">
        <v>162</v>
      </c>
      <c r="J63">
        <v>1</v>
      </c>
      <c r="K63">
        <v>1</v>
      </c>
      <c r="L63">
        <v>1</v>
      </c>
      <c r="M63">
        <v>1</v>
      </c>
      <c r="N63">
        <v>1</v>
      </c>
      <c r="P63" t="s">
        <v>306</v>
      </c>
      <c r="Q63">
        <v>0.69359999999999999</v>
      </c>
      <c r="R63">
        <v>0.30640000000000001</v>
      </c>
    </row>
    <row r="64" spans="1:22" ht="294" x14ac:dyDescent="0.3">
      <c r="A64">
        <v>43</v>
      </c>
      <c r="B64" t="s">
        <v>14</v>
      </c>
      <c r="C64" t="s">
        <v>15</v>
      </c>
      <c r="D64" t="s">
        <v>262</v>
      </c>
      <c r="E64" t="s">
        <v>263</v>
      </c>
      <c r="F64" s="8" t="s">
        <v>264</v>
      </c>
      <c r="G64" t="s">
        <v>265</v>
      </c>
      <c r="H64" t="s">
        <v>266</v>
      </c>
      <c r="I64" t="s">
        <v>312</v>
      </c>
      <c r="J64">
        <v>0.96740000000000004</v>
      </c>
      <c r="K64">
        <v>1</v>
      </c>
      <c r="L64">
        <v>0.88949999999999996</v>
      </c>
      <c r="M64">
        <v>0.99560000000000004</v>
      </c>
      <c r="N64">
        <v>0.98429999999999995</v>
      </c>
      <c r="P64" t="s">
        <v>309</v>
      </c>
      <c r="Q64">
        <v>0.60060000000000002</v>
      </c>
      <c r="R64">
        <v>0.36680000000000001</v>
      </c>
    </row>
    <row r="65" spans="8:17" x14ac:dyDescent="0.3">
      <c r="J65" s="3">
        <f>AVERAGE(J55:J64)</f>
        <v>0.64756999999999998</v>
      </c>
      <c r="Q65" s="3">
        <f>AVERAGE(Q55:Q64)</f>
        <v>0.59948000000000001</v>
      </c>
    </row>
    <row r="69" spans="8:17" x14ac:dyDescent="0.3">
      <c r="H69" t="s">
        <v>320</v>
      </c>
    </row>
  </sheetData>
  <autoFilter ref="A1:V52" xr:uid="{00000000-0001-0000-0000-000000000000}">
    <filterColumn colId="21">
      <customFilters>
        <customFilter operator="notEqual" val="0"/>
      </customFilters>
    </filterColumn>
    <sortState xmlns:xlrd2="http://schemas.microsoft.com/office/spreadsheetml/2017/richdata2" ref="A7:V52">
      <sortCondition ref="V1:V52"/>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2025-11-04T11:19:32Z</dcterms:created>
  <dcterms:modified xsi:type="dcterms:W3CDTF">2025-11-04T12:27:52Z</dcterms:modified>
</cp:coreProperties>
</file>