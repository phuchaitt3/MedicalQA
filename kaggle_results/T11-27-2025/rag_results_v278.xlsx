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7-2025\"/>
    </mc:Choice>
  </mc:AlternateContent>
  <xr:revisionPtr revIDLastSave="0" documentId="13_ncr:1_{CEA50E7C-4DB8-4752-9050-2FB749A6BEFE}"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1" l="1"/>
  <c r="I52" i="1"/>
</calcChain>
</file>

<file path=xl/sharedStrings.xml><?xml version="1.0" encoding="utf-8"?>
<sst xmlns="http://schemas.openxmlformats.org/spreadsheetml/2006/main" count="209" uniqueCount="209">
  <si>
    <t>Sample_ID</t>
  </si>
  <si>
    <t>Original_Index</t>
  </si>
  <si>
    <t>Question</t>
  </si>
  <si>
    <t>Original_Context</t>
  </si>
  <si>
    <t>Full_Chunk_Score_Breakdown</t>
  </si>
  <si>
    <t>Highlighted_Context_Preview</t>
  </si>
  <si>
    <t>Chunk_Count</t>
  </si>
  <si>
    <t>Coverage_Ratio</t>
  </si>
  <si>
    <t>Highlight_Coverage_Flag</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</si>
  <si>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</si>
  <si>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</si>
  <si>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0.8919 / 22.5183 / 0.8882
   - Normalized (Vec/BM25/Rerank):   1.0000 / 1.0000 / 1.0000</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</si>
  <si>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</si>
  <si>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</si>
  <si>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</si>
  <si>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11.4055 / 0.8424
   - Normalized (Vec/BM25/Rerank):   1.0000 / 1.0000 / 1.0000</t>
  </si>
  <si>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</si>
  <si>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</si>
  <si>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</si>
  <si>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6.9240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</si>
  <si>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</si>
  <si>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</si>
  <si>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</si>
  <si>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9.2014 / 0.8074
   - Normalized (Vec/BM25/Rerank):   1.0000 / 1.0000 / 1.0000
2. [Final Score: 0.8708]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5.8558 / 0.7793
   - Normalized (Vec/BM25/Rerank):   0.8700 / 0.6364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</si>
  <si>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</si>
  <si>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</si>
  <si>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</si>
  <si>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1.0000]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0.8156 / 18.6794 / 0.8663
   - Normalized (Vec/BM25/Rerank):   1.0000 / 1.0000 / 1.0000
X2. [Final Score: 0.6708] Sử dụng thuốc trong thời gian dài có thể dẫn đến bội nhiễm nấm hoặc vi khuẩn.
   - Unnormalized (Vec/BM25/Rerank): 0.6031 / 3.2914 / 0.7169
   - Normalized (Vec/BM25/Rerank):   0.7394 / 0.1762 / 0.8275</t>
  </si>
  <si>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</si>
  <si>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</si>
  <si>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</si>
  <si>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8.7539 / 0.8259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</si>
  <si>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</si>
  <si>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</si>
  <si>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</si>
  <si>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0.8147]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0.8131 / 14.2635 / 0.8804
   - Normalized (Vec/BM25/Rerank):   0.8409 / 0.8448 / 0.7869
X2. [Final Score: 0.4614]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0.7138 / 8.6109 / 0.8375
   - Normalized (Vec/BM25/Rerank):   0.3874 / 0.4421 / 0.5135
X3. [Final Score: 0.4177]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0.6892 / 7.3374 / 0.8407
   - Normalized (Vec/BM25/Rerank):   0.2720 / 0.3393 / 0.5364
X4. [Final Score: 0.2864] Những tế bào thần kinh đệm này nằm xung quanh các tế bào thần kinh.
   - Unnormalized (Vec/BM25/Rerank): 0.7249 / 6.9607 / 0.7841
   - Normalized (Vec/BM25/Rerank):   0.4448 / 0.3111 / 0.1815</t>
  </si>
  <si>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</si>
  <si>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</si>
  <si>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</si>
  <si>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0.8797 / 7.9907 / 0.7985
   - Normalized (Vec/BM25/Rerank):   1.0000 / 1.0000 / 1.0000
2. [Final Score: 0.8812] Tam thất thường được sử dụng với nhiều dạng khác nhau như tán bột, dùng tươi, ủ rượu hoặc bào chế dưới dạng viên hoàn.
   - Unnormalized (Vec/BM25/Rerank): 0.7211 / 5.5032 / 0.7946
   - Normalized (Vec/BM25/Rerank):   0.8197 / 0.6887 / 0.9951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</si>
  <si>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</si>
  <si>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</si>
  <si>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</si>
  <si>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0.7203] Một đêm trằn trọc có lẽ sẽ không gây ra những suy nghĩ hoang tưởng. Nhưng nếu một người thường xuyên mất ngủ, tình trạng thiếu ngủ có thể bắt đầu gây hại.
   - Unnormalized (Vec/BM25/Rerank): 0.6877 / 7.5013 / 0.8176
   - Normalized (Vec/BM25/Rerank):   0.5402 / 0.7852 / 0.8024
X2. [Final Score: 0.4236]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0.7107 / 3.1307 / 0.7502
   - Normalized (Vec/BM25/Rerank):   0.7570 / 0.2426 / 0.2959
X3. [Final Score: 0.3413]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0.6532 / 4.8912 / 0.7601
   - Normalized (Vec/BM25/Rerank):   0.2146 / 0.4606 / 0.3696</t>
  </si>
  <si>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</si>
  <si>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</si>
  <si>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</si>
  <si>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0.7791]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0.8882 / 23.0602 / 0.8907
   - Normalized (Vec/BM25/Rerank):   0.7665 / 0.7659 / 0.7919
X2. [Final Score: 0.4757] Một số người bị trầm cảm theo mùa đáp ứng với thuốc điều trị chống trầm cảm, đặc biệt là với các triệu chứng nghiêm trọng.
   - Unnormalized (Vec/BM25/Rerank): 0.8043 / 16.9980 / 0.8250
   - Normalized (Vec/BM25/Rerank):   0.5174 / 0.5188 / 0.4335
X3. [Final Score: 0.2384] Ngoài ra, người bệnh có thể phải thử các loại thuốc chống trầm cảm khác nhau trước khi người bệnh tìm thấy một loại thuốc phù hợp với bản thân và có ít tác dụng phụ nhất.
   - Unnormalized (Vec/BM25/Rerank): 0.7048 / 9.7051 / 0.7922
   - Normalized (Vec/BM25/Rerank):   0.2213 / 0.2209 / 0.2556</t>
  </si>
  <si>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</si>
  <si>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</si>
  <si>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</si>
  <si>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8.9095 / 0.8496
   - Normalized (Vec/BM25/Rerank):   1.0000 / 1.0000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</si>
  <si>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</si>
  <si>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</si>
  <si>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</si>
  <si>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17.1781 / 0.8833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</si>
  <si>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</si>
  <si>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</si>
  <si>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</si>
  <si>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0.8494]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0.8040 / 25.9819 / 0.9181
   - Normalized (Vec/BM25/Rerank):   0.8248 / 0.8777 / 0.8528
X2. [Final Score: 0.5778]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0.7334 / 7.9521 / 0.8079
   - Normalized (Vec/BM25/Rerank):   0.6766 / 0.4521 / 0.5689
X3. [Final Score: 0.3913] Hạt của cây Bình bát đốt ra tro, trộn với dầu dừa, bôi chữa ghẻ.
   - Unnormalized (Vec/BM25/Rerank): 0.6239 / 5.7143 / 0.7584
   - Normalized (Vec/BM25/Rerank):   0.3727 / 0.3868 / 0.4043
X4. [Final Score: 0.3358] Hạt và vỏ thân của cây Bình bát có độc, thường chỉ dùng ngoài.
   - Unnormalized (Vec/BM25/Rerank): 0.5632 / 4.1436 / 0.7562
   - Normalized (Vec/BM25/Rerank):   0.2283 / 0.3432 / 0.3973
X5. [Final Score: 0.2908] Trong đó vỏ thân của cây Bình bát ít độc hơn.
   - Unnormalized (Vec/BM25/Rerank): 0.6215 / 3.9807 / 0.6957
   - Normalized (Vec/BM25/Rerank):   0.3662 / 0.3388 / 0.2262</t>
  </si>
  <si>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bọ.&lt;/highlight&gt;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</si>
  <si>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</si>
  <si>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</si>
  <si>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0.8741 / 12.4125 / 0.8363
   - Normalized (Vec/BM25/Rerank):   1.0000 / 1.0000 / 1.0000</t>
  </si>
  <si>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</si>
  <si>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</si>
  <si>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</si>
  <si>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0.9845]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0.8708 / 14.1105 / 0.8805
   - Normalized (Vec/BM25/Rerank):   1.0000 / 0.9223 / 1.0000
2. [Final Score: 0.9641] Chẩn đoán thoát vị hoành cần phối hợp hỏi bệnh, khám lâm sàng và cận lâm sàng.
   - Unnormalized (Vec/BM25/Rerank): 0.8579 / 15.2992 / 0.8251
   - Normalized (Vec/BM25/Rerank):   0.9852 / 1.0000 / 0.9371</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</si>
  <si>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</si>
  <si>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</si>
  <si>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</si>
  <si>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0.7636]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0.8624 / 9.1426 / 0.8265
   - Normalized (Vec/BM25/Rerank):   0.7934 / 0.8158 / 0.7247
2. [Final Score: 0.6267] Cần phân biệt Ngấy hương (Rubus cochinchinensis) với một số thực vật cùng chi khác.
   - Unnormalized (Vec/BM25/Rerank): 0.7483 / 4.7673 / 0.7598
   - Normalized (Vec/BM25/Rerank):   0.6172 / 0.5839 / 0.6496
X3. [Final Score: 0.4252] Có thể kể đến như mâm xôi (Rubus alceaefolius Poir.
   - Unnormalized (Vec/BM25/Rerank): 0.6162 / 0.0000 / 0.6523
   - Normalized (Vec/BM25/Rerank):   0.3715 / 0.2862 / 0.5129
X4. [Final Score: 0.2031] ).
   - Unnormalized (Vec/BM25/Rerank): 0.5147 / 0.0000 / 0.3315
   - Normalized (Vec/BM25/Rerank):   0.2145 / 0.2862 / 0.1629</t>
  </si>
  <si>
    <t>&lt;highlight&gt;Ngấy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</si>
  <si>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</si>
  <si>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</si>
  <si>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0.6667 / 6.8736 / 0.8228
   - Normalized (Vec/BM25/Rerank):   1.0000 / 1.0000 / 1.0000</t>
  </si>
  <si>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</si>
  <si>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</si>
  <si>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</si>
  <si>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13.6192 / 0.8625
   - Normalized (Vec/BM25/Rerank):   1.0000 / 1.0000 / 1.0000</t>
  </si>
  <si>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</si>
  <si>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</si>
  <si>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</si>
  <si>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0.7662]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0.8065 / 12.1575 / 0.8559
   - Normalized (Vec/BM25/Rerank):   0.7318 / 0.8011 / 0.7729
X2. [Final Score: 0.5029]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0.7444 / 2.2346 / 0.7681
   - Normalized (Vec/BM25/Rerank):   0.5892 / 0.3811 / 0.4999
X3. [Final Score: 0.2321] Đôi lúc, thực sự rất khó để phân biệt giữa tính cách bướng bỉnh và rối loạn thách thức chống đối.
   - Unnormalized (Vec/BM25/Rerank): 0.5778 / 0.0000 / 0.6805
   - Normalized (Vec/BM25/Rerank):   0.2035 / 0.2874 / 0.2272</t>
  </si>
  <si>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</si>
  <si>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</si>
  <si>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</si>
  <si>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0.7847] Cơ chế điều chỉnh nhiệt tự nhiên được coi là thất bại khi cơ thể con người có nhiệt độ lõi &lt;35 ° C (&lt;95 ° F) và &gt; 40 ° C (&gt; 104 ° F).
   - Unnormalized (Vec/BM25/Rerank): 0.7827 / 17.5496 / 0.8793
   - Normalized (Vec/BM25/Rerank):   0.7628 / 0.7895 / 0.7960
X2. [Final Score: 0.4534] Như đã nói, cơ chế điều chỉnh nhiệt tự nhiên được kiểm soát bởi vùng dưới đồi. Cơ thể con người sẽ tự thích nghi để duy trì nhiệt độ lõi từ 36 ° C đến 38 ° C (96,8 ° F và 100,4 ° F).
   - Unnormalized (Vec/BM25/Rerank): 0.7041 / 9.7647 / 0.8316
   - Normalized (Vec/BM25/Rerank):   0.5267 / 0.4439 / 0.4133
X3. [Final Score: 0.2490]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0.6018 / 5.3817 / 0.8132
   - Normalized (Vec/BM25/Rerank):   0.2185 / 0.2504 / 0.2667</t>
  </si>
  <si>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</si>
  <si>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</si>
  <si>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</si>
  <si>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0.7882]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0.8710 / 9.0758 / 0.8356
   - Normalized (Vec/BM25/Rerank):   0.8012 / 0.7943 / 0.7779
X2. [Final Score: 0.4409] Người bệnh viêm gan, suy thận, bệnh tim… không nên dùng Cao hổ cốt để tránh các biến chứng.
   - Unnormalized (Vec/BM25/Rerank): 0.7110 / 6.9567 / 0.7928
   - Normalized (Vec/BM25/Rerank):   0.3797 / 0.4221 / 0.4851
X3. [Final Score: 0.2551] Cao hổ cốt có tính nóng và có tác dụng trợ dương mạnh mẽ.
   - Unnormalized (Vec/BM25/Rerank): 0.6760 / 6.0362 / 0.7558
   - Normalized (Vec/BM25/Rerank):   0.2884 / 0.2617 / 0.2326</t>
  </si>
  <si>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quỵ.&lt;/highlight&gt; Người bệnh viêm gan, suy thận, bệnh tim… không nên dùng Cao hổ cốt để tránh các biến chứng.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</si>
  <si>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</si>
  <si>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</si>
  <si>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7.0541 / 0.8172
   - Normalized (Vec/BM25/Rerank):   1.0000 / 1.0000 / 1.0000</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</si>
  <si>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</si>
  <si>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</si>
  <si>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</si>
  <si>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0.7709]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0.8725 / 10.3059 / 0.8378
   - Normalized (Vec/BM25/Rerank):   0.7044 / 0.8370 / 0.7843
2. [Final Score: 0.6814]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0.8177 / 8.8713 / 0.8335
   - Normalized (Vec/BM25/Rerank):   0.6064 / 0.6389 / 0.7433
X3. [Final Score: 0.4322] Đây là một tình trạng đau mãn tính được gây ra bởi dây thần kinh sinh ba.
   - Unnormalized (Vec/BM25/Rerank): 0.8567 / 7.7836 / 0.7960
   - Normalized (Vec/BM25/Rerank):   0.6776 / 0.4409 / 0.2814
X4. [Final Score: 0.4043] Hiện nay, có nhiều cách để làm giảm đau dây thần kinh sinh ba, bao gồm các phương pháp điều trị nội khoa (thuốc uống hoặc tiêm) cho đến phẫu thuật để kiểm soát cơn đau.
   - Unnormalized (Vec/BM25/Rerank): 0.7407 / 6.8287 / 0.8078
   - Normalized (Vec/BM25/Rerank):   0.4554 / 0.2796 / 0.4236
X5. [Final Score: 0.2172] Ngay cả những kích thích nhẹ lên mặt như đánh răng, rửa mặt cũng có thể gây ra một cơn đau dữ dội. Đau dây thần kinh sinh ba không giống như đau mặt do các vấn đề khác gây ra.
   - Unnormalized (Vec/BM25/Rerank): 0.5286 / 6.7265 / 0.7928
   - Normalized (Vec/BM25/Rerank):   0.1342 / 0.2645 / 0.2481</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</si>
  <si>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&lt;highlight&gt;Đau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nhược.&lt;/highlight&gt; Hiện nay, có nhiều cách để làm giảm đau dây thần kinh sinh ba, bao gồm các phương pháp điều trị nội khoa (thuốc uống hoặc tiêm) cho đến phẫu thuật để kiểm soát cơn đau.</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</si>
  <si>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</si>
  <si>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</si>
  <si>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0.6730]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11.3602 / 0.8658
   - Normalized (Vec/BM25/Rerank):   0.6813 / 0.6632 / 0.6718
2. [Final Score: 0.6664]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0.8132 / 11.5586 / 0.8649
   - Normalized (Vec/BM25/Rerank):   0.6577 / 0.6762 / 0.6677
X3. [Final Score: 0.1956] Không có phần nào của não là một cơ quan độc lập có thể hoạt động mà không cần thông tin từ các phần khác của cơ thể.
   - Unnormalized (Vec/BM25/Rerank): 0.5810 / 4.2710 / 0.7648
   - Normalized (Vec/BM25/Rerank):   0.1958 / 0.1956 / 0.1956</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</si>
  <si>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</si>
  <si>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</si>
  <si>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</si>
  <si>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0.7693]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0.8681 / 24.3380 / 0.9161
   - Normalized (Vec/BM25/Rerank):   0.7242 / 0.7743 / 0.7944
X2. [Final Score: 0.4906] Nếu bạn bị nổi hạch ở cổ nhưng không đau thì đây có thể là dấu hiệu của khối u.
   - Unnormalized (Vec/BM25/Rerank): 0.8158 / 15.7075 / 0.8523
   - Normalized (Vec/BM25/Rerank):   0.6016 / 0.4959 / 0.4218
X3. [Final Score: 0.2371] Khi cơ thể lành mạnh, các hạch bạch huyết có kích thước nhỏ, mềm, không sưng đau,… Bạn khó có thể sờ hay nhìn thấy các hạch bạch huyết ở dưới da.
   - Unnormalized (Vec/BM25/Rerank): 0.6464 / 7.4169 / 0.8247
   - Normalized (Vec/BM25/Rerank):   0.2014 / 0.2286 / 0.2619</t>
  </si>
  <si>
    <t>Khi cơ thể lành mạnh, các hạch bạch huyết có kích thước nhỏ, mềm, không sưng đau,… Bạn khó có thể sờ hay nhìn thấy các hạch bạch huyết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</si>
  <si>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</si>
  <si>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</si>
  <si>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0.7701]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0.8770 / 30.9800 / 0.8826
   - Normalized (Vec/BM25/Rerank):   0.8073 / 0.7823 / 0.7430
X2. [Final Score: 0.5994]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0.6887 / 22.4698 / 0.8575
   - Normalized (Vec/BM25/Rerank):   0.5070 / 0.6360 / 0.6402
X3. [Final Score: 0.4654] Có thể sử dụng thuốc để điều chỉnh cân bằng lại tình trạng rối loạn của những sang thương trước khi tiến hành các phương pháp hỗ trợ sinh sản.
   - Unnormalized (Vec/BM25/Rerank): 0.6761 / 10.0805 / 0.8253
   - Normalized (Vec/BM25/Rerank):   0.4834 / 0.3795 / 0.4889
X4. [Final Score: 0.1854] Đây là một thách thức lớn đối với cả người bệnh và bác sĩ.
   - Unnormalized (Vec/BM25/Rerank): 0.4981 / 0.0000 / 0.7451
   - Normalized (Vec/BM25/Rerank):   0.1988 / 0.2066 / 0.1689</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</si>
  <si>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&lt;highlight&gt;Do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</si>
  <si>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</si>
  <si>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</si>
  <si>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0.8509]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0.9008 / 14.9182 / 0.8902
   - Normalized (Vec/BM25/Rerank):   0.8333 / 0.8731 / 0.8526
X2. [Final Score: 0.5857]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0.7861 / 4.0847 / 0.7849
   - Normalized (Vec/BM25/Rerank):   0.6766 / 0.5034 / 0.5641
X3. [Final Score: 0.3932]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0.5680 / 1.0383 / 0.7573
   - Normalized (Vec/BM25/Rerank):   0.2856 / 0.3717 / 0.4663
X4. [Final Score: 0.3228] Sự giảm phân bố của các tế bào hạch làm cho các cơ trong ruột mất khả năng co thắt. Nhu động ruột là phản xạ sinh lý bình thường của cơ thể.
   - Unnormalized (Vec/BM25/Rerank): 0.5911 / 0.0000 / 0.7138
   - Normalized (Vec/BM25/Rerank):   0.3226 / 0.3299 / 0.3202
X5. [Final Score: 0.2888] Tình trạng tắc nghẽn ruột dẫn đến táo bón và chướng bụng.
   - Unnormalized (Vec/BM25/Rerank): 0.5980 / 0.0000 / 0.6877
   - Normalized (Vec/BM25/Rerank):   0.3343 / 0.3299 / 0.2450</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</si>
  <si>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tính.&lt;/highlight&gt;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</si>
  <si>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</si>
  <si>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</si>
  <si>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0.8957 / 8.9582 / 0.8201
   - Normalized (Vec/BM25/Rerank):   1.0000 / 1.0000 / 1.0000</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</si>
  <si>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</si>
  <si>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</si>
  <si>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</si>
  <si>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0.7629]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0.8093 / 7.9699 / 0.8159
   - Normalized (Vec/BM25/Rerank):   0.8035 / 0.7992 / 0.7239
X2. [Final Score: 0.4868] Sau đó, quả Mộc qua được đem phơi, mặt trong quả Mộc qua ngửa lên phía trên, cho đến khi chuyển màu hồng tím, rồi phơi tiếp đến thật khô.
   - Unnormalized (Vec/BM25/Rerank): 0.6523 / 5.5360 / 0.8083
   - Normalized (Vec/BM25/Rerank):   0.3563 / 0.3945 / 0.6020
X3. [Final Score: 0.2483]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0.6347 / 4.8309 / 0.7835
   - Normalized (Vec/BM25/Rerank):   0.3064 / 0.2783 / 0.2013</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</si>
  <si>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</si>
  <si>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</si>
  <si>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</si>
  <si>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0.9353 / 12.5258 / 0.9108
   - Normalized (Vec/BM25/Rerank):   1.0000 / 1.0000 / 1.0000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</si>
  <si>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</si>
  <si>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</si>
  <si>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</si>
  <si>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0.6477]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0.7659 / 8.2876 / 0.8406
   - Normalized (Vec/BM25/Rerank):   0.2828 / 0.8040 / 0.8041
X2. [Final Score: 0.4760] Mỗi nguyên tử trong tinh thể hydroxyapatite có thể được thay thế bằng nguyên tử khác.
   - Unnormalized (Vec/BM25/Rerank): 0.8056 / 2.1548 / 0.7082
   - Normalized (Vec/BM25/Rerank):   0.8002 / 0.3143 / 0.3462
X3. [Final Score: 0.3433]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0.7740 / 2.5715 / 0.6991
   - Normalized (Vec/BM25/Rerank):   0.3877 / 0.3472 / 0.3152</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</si>
  <si>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</si>
  <si>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</si>
  <si>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</si>
  <si>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0.8235]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14.2011 / 0.9004
   - Normalized (Vec/BM25/Rerank):   0.7974 / 0.8333 / 0.8352
X2. [Final Score: 0.5250]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6.8370 / 0.8324
   - Normalized (Vec/BM25/Rerank):   0.5719 / 0.5066 / 0.5042
X3. [Final Score: 0.3644] Do đó, thông tin mà não nhận được từ mắt cũng có sự khác biệt, dù thông tin thường chồng chéo.
   - Unnormalized (Vec/BM25/Rerank): 0.6967 / 3.7906 / 0.8013
   - Normalized (Vec/BM25/Rerank):   0.4366 / 0.3478 / 0.3277
X4. [Final Score: 0.2550] Não diễn giải các thông tin để tạo nên hình ảnh hoàn thiện.
   - Unnormalized (Vec/BM25/Rerank): 0.5912 / 2.0291 / 0.7927
   - Normalized (Vec/BM25/Rerank):   0.1971 / 0.2675 / 0.2847</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</si>
  <si>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</si>
  <si>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</si>
  <si>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</si>
  <si>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21.6808 / 0.8801
   - Normalized (Vec/BM25/Rerank):   1.0000 / 1.0000 / 1.0000</t>
  </si>
  <si>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</si>
  <si>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</si>
  <si>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</si>
  <si>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10.2987 / 0.7929
   - Normalized (Vec/BM25/Rerank):   1.0000 / 1.0000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</si>
  <si>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</si>
  <si>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</si>
  <si>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</si>
  <si>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0.7881] Chảy máu tiêu hóa dưới – thường liên quan đến đi tiêu ra máu. Máu có thể là máu đỏ tươi, máu đông hay máu lẫn với phân.
   - Unnormalized (Vec/BM25/Rerank): 0.8911 / 11.6673 / 0.9283
   - Normalized (Vec/BM25/Rerank):   0.7535 / 0.8030 / 0.8029
X2. [Final Score: 0.4189]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0.8558 / 7.2958 / 0.8465
   - Normalized (Vec/BM25/Rerank):   0.5478 / 0.3628 / 0.3641
X3. [Final Score: 0.2741] Cần đi khám nếu có triệu chứng chảy máu tiêu hóa dưới để được chẩn đoán và điều trị.
   - Unnormalized (Vec/BM25/Rerank): 0.7986 / 6.6777 / 0.8345
   - Normalized (Vec/BM25/Rerank):   0.2126 / 0.3012 / 0.3001</t>
  </si>
  <si>
    <t>&lt;highlight&gt;Chảy máu tiêu hóa dưới – thường liên quan đến đi tiêu ra máu. Máu có thể là máu đỏ tươi, máu đông hay máu lẫn với phân.&lt;/highlight&gt;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</si>
  <si>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</si>
  <si>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</si>
  <si>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9.6579 / 0.8261
   - Normalized (Vec/BM25/Rerank):   1.0000 / 1.0000 / 1.0000</t>
  </si>
  <si>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</si>
  <si>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</si>
  <si>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</si>
  <si>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0.7076]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0.7804 / 7.4713 / 0.8500
   - Normalized (Vec/BM25/Rerank):   0.6380 / 0.6953 / 0.7544
2. [Final Score: 0.7023]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0.8443 / 8.9540 / 0.8366
   - Normalized (Vec/BM25/Rerank):   0.6881 / 0.8446 / 0.6540
3. [Final Score: 0.5585] Hạt của cây Xuyên tiêu sẽ tự bong ra khi quả già, rơi xuống đất bên cạnh mọc thành cây mới.
   - Unnormalized (Vec/BM25/Rerank): 0.6552 / 4.6501 / 0.8394
   - Normalized (Vec/BM25/Rerank):   0.5315 / 0.3047 / 0.6763
X4. [Final Score: 0.5332]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0.7661 / 6.2909 / 0.8165
   - Normalized (Vec/BM25/Rerank):   0.6262 / 0.5336 / 0.4773
X5. [Final Score: 0.4141] Mùa quả của cây Xuyên tiêu nhiều nhất vào tháng 5, tháng 6.
   - Unnormalized (Vec/BM25/Rerank): 0.6696 / 4.8517 / 0.8043
   - Normalized (Vec/BM25/Rerank):   0.5442 / 0.3302 / 0.3697
X6. [Final Score: 0.1465] Cây Xuyên tiêu xanh tốt quanh năm và cho nhiều hoa quả.
   - Unnormalized (Vec/BM25/Rerank): 0.0000 / 4.1451 / 0.7673
   - Normalized (Vec/BM25/Rerank):   0.1018 / 0.2459 / 0.1334</t>
  </si>
  <si>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ra.&lt;/highlight&gt;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</si>
  <si>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</si>
  <si>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</si>
  <si>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1.0000] Sau đó, bạn nên lau khô, tránh để vùng kín bị ẩm ướt.
   - Unnormalized (Vec/BM25/Rerank): 0.7823 / 5.1224 / 0.7632
   - Normalized (Vec/BM25/Rerank):   1.0000 / 1.0000 / 1.0000
2. [Final Score: 0.9011]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0.6241 / 4.1725 / 0.7614
   - Normalized (Vec/BM25/Rerank):   0.7978 / 0.8145 / 0.9976</t>
  </si>
  <si>
    <t>&lt;highlight&gt;Thụt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</si>
  <si>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</si>
  <si>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</si>
  <si>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0.7716] Bạch linh trồng cho thu hoạch sau 2 năm, loại tốt nhất phải sau 3 – 4 năm. Sau khi thu hái, Bạch linh được rửa sạch phần đất cát bám bên ngoài dược liệu.
   - Unnormalized (Vec/BM25/Rerank): 0.8100 / 9.8684 / 0.8586
   - Normalized (Vec/BM25/Rerank):   0.8036 / 0.8024 / 0.7400
X2. [Final Score: 0.4535] Chất dược liệu được thành đống ở nơi có gió rồi tiếp tục phơi và ủ đến khi bề mặt khô và có vết nhăn. Sau đó, Bạch linh được phơi âm can cho đến khi khô hẳn.
   - Unnormalized (Vec/BM25/Rerank): 0.7342 / 5.3554 / 0.8282
   - Normalized (Vec/BM25/Rerank):   0.3080 / 0.3687 / 0.5747
X3. [Final Score: 0.2688] Bạch linh được bảo quản nơi khô ráo, tránh ẩm ướt.
   - Unnormalized (Vec/BM25/Rerank): 0.7413 / 4.5968 / 0.7611
   - Normalized (Vec/BM25/Rerank):   0.3545 / 0.2965 / 0.2063</t>
  </si>
  <si>
    <t>&lt;highlight&gt;Bạch linh trồng cho thu hoạch sau 2 năm, loại tốt nhất phải sau 3 – 4 năm. Sau khi thu hái, Bạch linh được rửa sạch phần đất cát bám bên ngoài dược liệu.&lt;/highlight&gt;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</si>
  <si>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</si>
  <si>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</si>
  <si>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0.7496]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0.8976 / 26.4729 / 0.8705
   - Normalized (Vec/BM25/Rerank):   0.7487 / 0.7851 / 0.7359
X2. [Final Score: 0.5506]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0.7650 / 11.7051 / 0.8406
   - Normalized (Vec/BM25/Rerank):   0.5580 / 0.4608 / 0.5821
X3. [Final Score: 0.2140]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0.5245 / 1.7297 / 0.7677
   - Normalized (Vec/BM25/Rerank):   0.2101 / 0.2426 / 0.2048</t>
  </si>
  <si>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sinh.&lt;/highlight&gt;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</si>
  <si>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</si>
  <si>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</si>
  <si>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0.6761] Vòng amidan Waldeyer được hình thành từ các amidan.
   - Unnormalized (Vec/BM25/Rerank): 0.9382 / 10.9995 / 0.8361
   - Normalized (Vec/BM25/Rerank):   0.7552 / 0.6249 / 0.6492
2. [Final Score: 0.6493]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0.8020 / 12.1849 / 0.8476
   - Normalized (Vec/BM25/Rerank):   0.5442 / 0.7083 / 0.6889
X3. [Final Score: 0.2018] Các quá trình thở và ăn liên tục vận chuyển vi khuẩn vào cơ thể. Hầu họng là một trong những điểm xâm nhập của vi khuẩn vào cơ thể và được bao quanh bởi các mô bạch huyết dưới dạng amidan.
   - Unnormalized (Vec/BM25/Rerank): 0.5896 / 4.9940 / 0.7062
   - Normalized (Vec/BM25/Rerank):   0.2136 / 0.1982 / 0.1962</t>
  </si>
  <si>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</si>
  <si>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</si>
  <si>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</si>
  <si>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13.9704 / 0.8532
   - Normalized (Vec/BM25/Rerank):   1.0000 / 1.0000 / 1.0000</t>
  </si>
  <si>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</si>
  <si>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</si>
  <si>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</si>
  <si>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0.8889 / 11.1918 / 0.8931
   - Normalized (Vec/BM25/Rerank):   1.0000 / 1.0000 / 1.0000</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</si>
  <si>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</si>
  <si>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</si>
  <si>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</si>
  <si>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0.9932]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8.5940 / 0.8503
   - Normalized (Vec/BM25/Rerank):   1.0000 / 1.0000 / 0.9864
2. [Final Score: 0.9664]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8.3145 / 0.8620
   - Normalized (Vec/BM25/Rerank):   0.9097 / 0.9675 / 1.0000</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</si>
  <si>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</si>
  <si>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</si>
  <si>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</si>
  <si>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1.0000]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0.7469 / 9.6266 / 0.8283
   - Normalized (Vec/BM25/Rerank):   1.0000 / 1.0000 / 1.0000
X2. [Final Score: 0.5400] Thay đổi lối sống.
   - Unnormalized (Vec/BM25/Rerank): 0.4457 / 0.0000 / 0.5980
   - Normalized (Vec/BM25/Rerank):   0.5967 / 0.0000 / 0.7220</t>
  </si>
  <si>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</si>
  <si>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</si>
  <si>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</si>
  <si>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8.4655 / 0.8126
   - Normalized (Vec/BM25/Rerank):   1.0000 / 1.0000 / 1.0000</t>
  </si>
  <si>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</si>
  <si>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</si>
  <si>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</si>
  <si>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0.8250] Suy thận mạn tính ở giai đoạn cuối hay còn gọi là suy thận ở giai đoạn thứ năm của bệnh thận mạn tính. Khi này, thận không còn hoạt động đủ tốt để đáp ứng nhu cầu hàng ngày.
   - Unnormalized (Vec/BM25/Rerank): 0.8522 / 16.8927 / 0.9281
   - Normalized (Vec/BM25/Rerank):   0.8439 / 0.8196 / 0.8158
X2. [Final Score: 0.5177] Xem thêm: Các cấp độ suy thận và những thông tin bạn cần biết. Ngoài ra, bệnh thận mạn tính thường diễn tiến đến giai đoạn cuối sau 10 đến 20 năm kể từ khi được chẩn đoán bệnh thận mạn.
   - Unnormalized (Vec/BM25/Rerank): 0.7607 / 9.9845 / 0.8509
   - Normalized (Vec/BM25/Rerank):   0.4444 / 0.5221 / 0.5600
X3. [Final Score: 0.3745] Cụ thể, thận sẽ hoạt động dưới 15% khả năng bình thường. Nói cách khác, thận hầu như không hoạt động hoặc hoàn toàn không hoạt động.
   - Unnormalized (Vec/BM25/Rerank): 0.7421 / 7.8881 / 0.8036
   - Normalized (Vec/BM25/Rerank):   0.3515 / 0.4149 / 0.3721
X4. [Final Score: 0.2492] Thận là cơ quan giữ vai trò lọc chất thải cùng nước dư thừa từ máu, tạo nước tiểu. Bệnh thận mạn sẽ làm thận mất dần các chức năng này theo thời gian.
   - Unnormalized (Vec/BM25/Rerank): 0.7306 / 3.4561 / 0.7614
   - Normalized (Vec/BM25/Rerank):   0.2989 / 0.2213 / 0.2304</t>
  </si>
  <si>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</si>
  <si>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</si>
  <si>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</si>
  <si>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0.6513]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0.7728 / 3.9576 / 0.7942
   - Normalized (Vec/BM25/Rerank):   0.6899 / 0.4977 / 0.6896
2. [Final Score: 0.5392] Cây hoa Quỳnh thuộc loại ưa khí hậu ấm áp, có độ ẩm cao, thường hay mọc bám vào thân cây khác trong các khu rừng nhiệt đới.
   - Unnormalized (Vec/BM25/Rerank): 0.6654 / 3.0106 / 0.7972
   - Normalized (Vec/BM25/Rerank):   0.3424 / 0.2902 / 0.7570
3. [Final Score: 0.5029]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0.7976 / 5.7145 / 0.7758
   - Normalized (Vec/BM25/Rerank):   0.7569 / 0.8366 / 0.2169
X4. [Final Score: 0.3016] Tuy nhiên, cây hoa Quỳnh không phải loài sống ký sinh mà chỉ dựa vào các chất mùn bám trên vỏ cây.
   - Unnormalized (Vec/BM25/Rerank): 0.6189 / 3.1867 / 0.7814
   - Normalized (Vec/BM25/Rerank):   0.2171 / 0.3252 / 0.3428</t>
  </si>
  <si>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&lt;highlight&gt;Cây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</si>
  <si>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</si>
  <si>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</si>
  <si>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1.0000]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0.8034 / 11.2545 / 0.8513
   - Normalized (Vec/BM25/Rerank):   1.0000 / 1.0000 / 1.0000</t>
  </si>
  <si>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</si>
  <si>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</si>
  <si>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</si>
  <si>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0.7990]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14.2297 / 0.8475
   - Normalized (Vec/BM25/Rerank):   0.8044 / 0.8040 / 0.7938
X2. [Final Score: 0.3721]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4.6478 / 0.7995
   - Normalized (Vec/BM25/Rerank):   0.3231 / 0.3142 / 0.4246
X3. [Final Score: 0.3009] Mía có axit alpha hydroxyl mang lại nhiều lợi ích cho da giúp duy trì làn da khỏe đẹp. Ngoài ra, mía giúp ngăn ngừa mụn trứng cá, giảm sưng tấy do mụn, dưỡng ẩm cho da và ngăn ngừa lão hóa.
   - Unnormalized (Vec/BM25/Rerank): 0.7025 / 5.3004 / 0.7780
   - Normalized (Vec/BM25/Rerank):   0.3376 / 0.3473 / 0.2603</t>
  </si>
  <si>
    <t>Mía có axit alpha hydroxyl mang lại nhiều lợi ích cho da giúp duy trì làn da khỏe đẹp. Ngoài ra, mía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</si>
</sst>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workbookViewId="0">
      <selection activeCell="M50" sqref="M50"/>
    </sheetView>
  </sheetViews>
  <sheetFormatPr defaultRowHeight="14" x14ac:dyDescent="0.3"/>
  <sheetData>
    <row r="1" spans="1:9" x14ac:dyDescent="0.3">
      <c r="A1" s="1" t="s">
        <v>0</v>
      </c>
      <c r="B1" s="1" t="s">
        <v>1</v>
      </c>
      <c r="C1" s="1" t="s">
        <v>2</v>
      </c>
      <c r="D1" s="1" t="s">
        <v>3</v>
      </c>
      <c r="E1" s="1" t="s">
        <v>4</v>
      </c>
      <c r="F1" s="1" t="s">
        <v>5</v>
      </c>
      <c r="G1" s="1" t="s">
        <v>6</v>
      </c>
      <c r="H1" s="1" t="s">
        <v>7</v>
      </c>
      <c r="I1" s="1" t="s">
        <v>8</v>
      </c>
    </row>
    <row r="2" spans="1:9" x14ac:dyDescent="0.3">
      <c r="A2">
        <v>0</v>
      </c>
      <c r="B2">
        <v>1572</v>
      </c>
      <c r="C2" t="s">
        <v>9</v>
      </c>
      <c r="D2" t="s">
        <v>10</v>
      </c>
      <c r="E2" t="s">
        <v>11</v>
      </c>
      <c r="F2" t="s">
        <v>12</v>
      </c>
      <c r="G2">
        <v>1</v>
      </c>
      <c r="H2">
        <v>1</v>
      </c>
      <c r="I2">
        <v>1</v>
      </c>
    </row>
    <row r="3" spans="1:9" x14ac:dyDescent="0.3">
      <c r="A3">
        <v>1</v>
      </c>
      <c r="B3">
        <v>1553</v>
      </c>
      <c r="C3" t="s">
        <v>13</v>
      </c>
      <c r="D3" t="s">
        <v>14</v>
      </c>
      <c r="E3" t="s">
        <v>15</v>
      </c>
      <c r="F3" t="s">
        <v>16</v>
      </c>
      <c r="G3">
        <v>1</v>
      </c>
      <c r="H3">
        <v>1</v>
      </c>
      <c r="I3">
        <v>1</v>
      </c>
    </row>
    <row r="4" spans="1:9" x14ac:dyDescent="0.3">
      <c r="A4">
        <v>2</v>
      </c>
      <c r="B4">
        <v>166</v>
      </c>
      <c r="C4" t="s">
        <v>17</v>
      </c>
      <c r="D4" t="s">
        <v>18</v>
      </c>
      <c r="E4" t="s">
        <v>19</v>
      </c>
      <c r="F4" t="s">
        <v>20</v>
      </c>
      <c r="G4">
        <v>1</v>
      </c>
      <c r="H4">
        <v>1</v>
      </c>
      <c r="I4">
        <v>1</v>
      </c>
    </row>
    <row r="5" spans="1:9" x14ac:dyDescent="0.3">
      <c r="A5">
        <v>3</v>
      </c>
      <c r="B5">
        <v>247</v>
      </c>
      <c r="C5" t="s">
        <v>21</v>
      </c>
      <c r="D5" t="s">
        <v>22</v>
      </c>
      <c r="E5" t="s">
        <v>23</v>
      </c>
      <c r="F5" t="s">
        <v>24</v>
      </c>
      <c r="G5">
        <v>2</v>
      </c>
      <c r="H5">
        <v>1</v>
      </c>
      <c r="I5">
        <v>1</v>
      </c>
    </row>
    <row r="6" spans="1:9" x14ac:dyDescent="0.3">
      <c r="A6">
        <v>4</v>
      </c>
      <c r="B6">
        <v>231</v>
      </c>
      <c r="C6" t="s">
        <v>25</v>
      </c>
      <c r="D6" t="s">
        <v>26</v>
      </c>
      <c r="E6" t="s">
        <v>27</v>
      </c>
      <c r="F6" t="s">
        <v>28</v>
      </c>
      <c r="G6">
        <v>2</v>
      </c>
      <c r="H6">
        <v>0.92049999999999998</v>
      </c>
      <c r="I6">
        <v>0</v>
      </c>
    </row>
    <row r="7" spans="1:9" x14ac:dyDescent="0.3">
      <c r="A7">
        <v>5</v>
      </c>
      <c r="B7">
        <v>829</v>
      </c>
      <c r="C7" t="s">
        <v>29</v>
      </c>
      <c r="D7" t="s">
        <v>30</v>
      </c>
      <c r="E7" t="s">
        <v>31</v>
      </c>
      <c r="F7" t="s">
        <v>32</v>
      </c>
      <c r="G7">
        <v>1</v>
      </c>
      <c r="H7">
        <v>1</v>
      </c>
      <c r="I7">
        <v>1</v>
      </c>
    </row>
    <row r="8" spans="1:9" x14ac:dyDescent="0.3">
      <c r="A8">
        <v>6</v>
      </c>
      <c r="B8">
        <v>1534</v>
      </c>
      <c r="C8" t="s">
        <v>33</v>
      </c>
      <c r="D8" t="s">
        <v>34</v>
      </c>
      <c r="E8" t="s">
        <v>35</v>
      </c>
      <c r="F8" t="s">
        <v>36</v>
      </c>
      <c r="G8">
        <v>4</v>
      </c>
      <c r="H8">
        <v>0.3448</v>
      </c>
      <c r="I8">
        <v>0</v>
      </c>
    </row>
    <row r="9" spans="1:9" x14ac:dyDescent="0.3">
      <c r="A9">
        <v>7</v>
      </c>
      <c r="B9">
        <v>446</v>
      </c>
      <c r="C9" t="s">
        <v>37</v>
      </c>
      <c r="D9" t="s">
        <v>38</v>
      </c>
      <c r="E9" t="s">
        <v>39</v>
      </c>
      <c r="F9" t="s">
        <v>40</v>
      </c>
      <c r="G9">
        <v>2</v>
      </c>
      <c r="H9">
        <v>1</v>
      </c>
      <c r="I9">
        <v>1</v>
      </c>
    </row>
    <row r="10" spans="1:9" x14ac:dyDescent="0.3">
      <c r="A10">
        <v>8</v>
      </c>
      <c r="B10">
        <v>1395</v>
      </c>
      <c r="C10" t="s">
        <v>41</v>
      </c>
      <c r="D10" t="s">
        <v>42</v>
      </c>
      <c r="E10" t="s">
        <v>43</v>
      </c>
      <c r="F10" t="s">
        <v>44</v>
      </c>
      <c r="G10">
        <v>3</v>
      </c>
      <c r="H10">
        <v>0.25330000000000003</v>
      </c>
      <c r="I10">
        <v>0</v>
      </c>
    </row>
    <row r="11" spans="1:9" x14ac:dyDescent="0.3">
      <c r="A11">
        <v>9</v>
      </c>
      <c r="B11">
        <v>1498</v>
      </c>
      <c r="C11" t="s">
        <v>45</v>
      </c>
      <c r="D11" t="s">
        <v>46</v>
      </c>
      <c r="E11" t="s">
        <v>47</v>
      </c>
      <c r="F11" t="s">
        <v>48</v>
      </c>
      <c r="G11">
        <v>3</v>
      </c>
      <c r="H11">
        <v>0.51880000000000004</v>
      </c>
      <c r="I11">
        <v>0</v>
      </c>
    </row>
    <row r="12" spans="1:9" x14ac:dyDescent="0.3">
      <c r="A12">
        <v>10</v>
      </c>
      <c r="B12">
        <v>1290</v>
      </c>
      <c r="C12" t="s">
        <v>49</v>
      </c>
      <c r="D12" t="s">
        <v>50</v>
      </c>
      <c r="E12" t="s">
        <v>51</v>
      </c>
      <c r="F12" t="s">
        <v>52</v>
      </c>
      <c r="G12">
        <v>1</v>
      </c>
      <c r="H12">
        <v>1</v>
      </c>
      <c r="I12">
        <v>1</v>
      </c>
    </row>
    <row r="13" spans="1:9" x14ac:dyDescent="0.3">
      <c r="A13">
        <v>11</v>
      </c>
      <c r="B13">
        <v>1559</v>
      </c>
      <c r="C13" t="s">
        <v>53</v>
      </c>
      <c r="D13" t="s">
        <v>54</v>
      </c>
      <c r="E13" t="s">
        <v>55</v>
      </c>
      <c r="F13" t="s">
        <v>56</v>
      </c>
      <c r="G13">
        <v>1</v>
      </c>
      <c r="H13">
        <v>1</v>
      </c>
      <c r="I13">
        <v>1</v>
      </c>
    </row>
    <row r="14" spans="1:9" x14ac:dyDescent="0.3">
      <c r="A14">
        <v>12</v>
      </c>
      <c r="B14">
        <v>711</v>
      </c>
      <c r="C14" t="s">
        <v>57</v>
      </c>
      <c r="D14" t="s">
        <v>58</v>
      </c>
      <c r="E14" t="s">
        <v>59</v>
      </c>
      <c r="F14" t="s">
        <v>60</v>
      </c>
      <c r="G14">
        <v>5</v>
      </c>
      <c r="H14">
        <v>0.52010000000000001</v>
      </c>
      <c r="I14">
        <v>0</v>
      </c>
    </row>
    <row r="15" spans="1:9" x14ac:dyDescent="0.3">
      <c r="A15">
        <v>13</v>
      </c>
      <c r="B15">
        <v>611</v>
      </c>
      <c r="C15" t="s">
        <v>61</v>
      </c>
      <c r="D15" t="s">
        <v>62</v>
      </c>
      <c r="E15" t="s">
        <v>63</v>
      </c>
      <c r="F15" t="s">
        <v>64</v>
      </c>
      <c r="G15">
        <v>1</v>
      </c>
      <c r="H15">
        <v>1</v>
      </c>
      <c r="I15">
        <v>1</v>
      </c>
    </row>
    <row r="16" spans="1:9" x14ac:dyDescent="0.3">
      <c r="A16">
        <v>14</v>
      </c>
      <c r="B16">
        <v>1204</v>
      </c>
      <c r="C16" t="s">
        <v>65</v>
      </c>
      <c r="D16" t="s">
        <v>66</v>
      </c>
      <c r="E16" t="s">
        <v>67</v>
      </c>
      <c r="F16" t="s">
        <v>68</v>
      </c>
      <c r="G16">
        <v>2</v>
      </c>
      <c r="H16">
        <v>1</v>
      </c>
      <c r="I16">
        <v>1</v>
      </c>
    </row>
    <row r="17" spans="1:9" x14ac:dyDescent="0.3">
      <c r="A17">
        <v>15</v>
      </c>
      <c r="B17">
        <v>538</v>
      </c>
      <c r="C17" t="s">
        <v>69</v>
      </c>
      <c r="D17" t="s">
        <v>70</v>
      </c>
      <c r="E17" t="s">
        <v>71</v>
      </c>
      <c r="F17" t="s">
        <v>72</v>
      </c>
      <c r="G17">
        <v>4</v>
      </c>
      <c r="H17">
        <v>0.9244</v>
      </c>
      <c r="I17">
        <v>0</v>
      </c>
    </row>
    <row r="18" spans="1:9" x14ac:dyDescent="0.3">
      <c r="A18">
        <v>16</v>
      </c>
      <c r="B18">
        <v>1205</v>
      </c>
      <c r="C18" t="s">
        <v>73</v>
      </c>
      <c r="D18" t="s">
        <v>74</v>
      </c>
      <c r="E18" t="s">
        <v>75</v>
      </c>
      <c r="F18" t="s">
        <v>76</v>
      </c>
      <c r="G18">
        <v>1</v>
      </c>
      <c r="H18">
        <v>1</v>
      </c>
      <c r="I18">
        <v>1</v>
      </c>
    </row>
    <row r="19" spans="1:9" x14ac:dyDescent="0.3">
      <c r="A19">
        <v>17</v>
      </c>
      <c r="B19">
        <v>99</v>
      </c>
      <c r="C19" t="s">
        <v>77</v>
      </c>
      <c r="D19" t="s">
        <v>78</v>
      </c>
      <c r="E19" t="s">
        <v>79</v>
      </c>
      <c r="F19" t="s">
        <v>80</v>
      </c>
      <c r="G19">
        <v>1</v>
      </c>
      <c r="H19">
        <v>1</v>
      </c>
      <c r="I19">
        <v>1</v>
      </c>
    </row>
    <row r="20" spans="1:9" x14ac:dyDescent="0.3">
      <c r="A20">
        <v>18</v>
      </c>
      <c r="B20">
        <v>1171</v>
      </c>
      <c r="C20" t="s">
        <v>81</v>
      </c>
      <c r="D20" t="s">
        <v>82</v>
      </c>
      <c r="E20" t="s">
        <v>83</v>
      </c>
      <c r="F20" t="s">
        <v>84</v>
      </c>
      <c r="G20">
        <v>3</v>
      </c>
      <c r="H20">
        <v>0.27050000000000002</v>
      </c>
      <c r="I20">
        <v>0</v>
      </c>
    </row>
    <row r="21" spans="1:9" x14ac:dyDescent="0.3">
      <c r="A21">
        <v>19</v>
      </c>
      <c r="B21">
        <v>1310</v>
      </c>
      <c r="C21" t="s">
        <v>85</v>
      </c>
      <c r="D21" t="s">
        <v>86</v>
      </c>
      <c r="E21" t="s">
        <v>87</v>
      </c>
      <c r="F21" t="s">
        <v>88</v>
      </c>
      <c r="G21">
        <v>3</v>
      </c>
      <c r="H21">
        <v>0.18679999999999999</v>
      </c>
      <c r="I21">
        <v>0</v>
      </c>
    </row>
    <row r="22" spans="1:9" x14ac:dyDescent="0.3">
      <c r="A22">
        <v>20</v>
      </c>
      <c r="B22">
        <v>424</v>
      </c>
      <c r="C22" t="s">
        <v>89</v>
      </c>
      <c r="D22" t="s">
        <v>90</v>
      </c>
      <c r="E22" t="s">
        <v>91</v>
      </c>
      <c r="F22" t="s">
        <v>92</v>
      </c>
      <c r="G22">
        <v>3</v>
      </c>
      <c r="H22">
        <v>0.73729999999999996</v>
      </c>
      <c r="I22">
        <v>0</v>
      </c>
    </row>
    <row r="23" spans="1:9" x14ac:dyDescent="0.3">
      <c r="A23">
        <v>21</v>
      </c>
      <c r="B23">
        <v>943</v>
      </c>
      <c r="C23" t="s">
        <v>93</v>
      </c>
      <c r="D23" t="s">
        <v>94</v>
      </c>
      <c r="E23" t="s">
        <v>95</v>
      </c>
      <c r="F23" t="s">
        <v>96</v>
      </c>
      <c r="G23">
        <v>1</v>
      </c>
      <c r="H23">
        <v>1</v>
      </c>
      <c r="I23">
        <v>1</v>
      </c>
    </row>
    <row r="24" spans="1:9" x14ac:dyDescent="0.3">
      <c r="A24">
        <v>22</v>
      </c>
      <c r="B24">
        <v>1243</v>
      </c>
      <c r="C24" t="s">
        <v>97</v>
      </c>
      <c r="D24" t="s">
        <v>98</v>
      </c>
      <c r="E24" t="s">
        <v>99</v>
      </c>
      <c r="F24" t="s">
        <v>100</v>
      </c>
      <c r="G24">
        <v>5</v>
      </c>
      <c r="H24">
        <v>0.66400000000000003</v>
      </c>
      <c r="I24">
        <v>0</v>
      </c>
    </row>
    <row r="25" spans="1:9" x14ac:dyDescent="0.3">
      <c r="A25">
        <v>23</v>
      </c>
      <c r="B25">
        <v>887</v>
      </c>
      <c r="C25" t="s">
        <v>101</v>
      </c>
      <c r="D25" t="s">
        <v>102</v>
      </c>
      <c r="E25" t="s">
        <v>103</v>
      </c>
      <c r="F25" t="s">
        <v>104</v>
      </c>
      <c r="G25">
        <v>3</v>
      </c>
      <c r="H25">
        <v>0.85489999999999999</v>
      </c>
      <c r="I25">
        <v>0</v>
      </c>
    </row>
    <row r="26" spans="1:9" x14ac:dyDescent="0.3">
      <c r="A26">
        <v>24</v>
      </c>
      <c r="B26">
        <v>1491</v>
      </c>
      <c r="C26" t="s">
        <v>105</v>
      </c>
      <c r="D26" t="s">
        <v>106</v>
      </c>
      <c r="E26" t="s">
        <v>107</v>
      </c>
      <c r="F26" t="s">
        <v>108</v>
      </c>
      <c r="G26">
        <v>3</v>
      </c>
      <c r="H26">
        <v>0.71030000000000004</v>
      </c>
      <c r="I26">
        <v>0</v>
      </c>
    </row>
    <row r="27" spans="1:9" x14ac:dyDescent="0.3">
      <c r="A27">
        <v>25</v>
      </c>
      <c r="B27">
        <v>1377</v>
      </c>
      <c r="C27" t="s">
        <v>109</v>
      </c>
      <c r="D27" t="s">
        <v>110</v>
      </c>
      <c r="E27" t="s">
        <v>111</v>
      </c>
      <c r="F27" t="s">
        <v>112</v>
      </c>
      <c r="G27">
        <v>4</v>
      </c>
      <c r="H27">
        <v>0.45450000000000002</v>
      </c>
      <c r="I27">
        <v>0</v>
      </c>
    </row>
    <row r="28" spans="1:9" x14ac:dyDescent="0.3">
      <c r="A28">
        <v>26</v>
      </c>
      <c r="B28">
        <v>1565</v>
      </c>
      <c r="C28" t="s">
        <v>113</v>
      </c>
      <c r="D28" t="s">
        <v>114</v>
      </c>
      <c r="E28" t="s">
        <v>115</v>
      </c>
      <c r="F28" t="s">
        <v>116</v>
      </c>
      <c r="G28">
        <v>5</v>
      </c>
      <c r="H28">
        <v>0.2767</v>
      </c>
      <c r="I28">
        <v>0</v>
      </c>
    </row>
    <row r="29" spans="1:9" x14ac:dyDescent="0.3">
      <c r="A29">
        <v>27</v>
      </c>
      <c r="B29">
        <v>1064</v>
      </c>
      <c r="C29" t="s">
        <v>117</v>
      </c>
      <c r="D29" t="s">
        <v>118</v>
      </c>
      <c r="E29" t="s">
        <v>119</v>
      </c>
      <c r="F29" t="s">
        <v>120</v>
      </c>
      <c r="G29">
        <v>1</v>
      </c>
      <c r="H29">
        <v>1</v>
      </c>
      <c r="I29">
        <v>1</v>
      </c>
    </row>
    <row r="30" spans="1:9" x14ac:dyDescent="0.3">
      <c r="A30">
        <v>28</v>
      </c>
      <c r="B30">
        <v>850</v>
      </c>
      <c r="C30" t="s">
        <v>121</v>
      </c>
      <c r="D30" t="s">
        <v>122</v>
      </c>
      <c r="E30" t="s">
        <v>123</v>
      </c>
      <c r="F30" t="s">
        <v>124</v>
      </c>
      <c r="G30">
        <v>3</v>
      </c>
      <c r="H30">
        <v>0.40029999999999999</v>
      </c>
      <c r="I30">
        <v>0</v>
      </c>
    </row>
    <row r="31" spans="1:9" x14ac:dyDescent="0.3">
      <c r="A31">
        <v>29</v>
      </c>
      <c r="B31">
        <v>1118</v>
      </c>
      <c r="C31" t="s">
        <v>125</v>
      </c>
      <c r="D31" t="s">
        <v>126</v>
      </c>
      <c r="E31" t="s">
        <v>127</v>
      </c>
      <c r="F31" t="s">
        <v>128</v>
      </c>
      <c r="G31">
        <v>1</v>
      </c>
      <c r="H31">
        <v>1</v>
      </c>
      <c r="I31">
        <v>1</v>
      </c>
    </row>
    <row r="32" spans="1:9" x14ac:dyDescent="0.3">
      <c r="A32">
        <v>30</v>
      </c>
      <c r="B32">
        <v>968</v>
      </c>
      <c r="C32" t="s">
        <v>129</v>
      </c>
      <c r="D32" t="s">
        <v>130</v>
      </c>
      <c r="E32" t="s">
        <v>131</v>
      </c>
      <c r="F32" t="s">
        <v>132</v>
      </c>
      <c r="G32">
        <v>3</v>
      </c>
      <c r="H32">
        <v>0.42159999999999997</v>
      </c>
      <c r="I32">
        <v>0</v>
      </c>
    </row>
    <row r="33" spans="1:9" x14ac:dyDescent="0.3">
      <c r="A33">
        <v>31</v>
      </c>
      <c r="B33">
        <v>1051</v>
      </c>
      <c r="C33" t="s">
        <v>133</v>
      </c>
      <c r="D33" t="s">
        <v>134</v>
      </c>
      <c r="E33" t="s">
        <v>135</v>
      </c>
      <c r="F33" t="s">
        <v>136</v>
      </c>
      <c r="G33">
        <v>4</v>
      </c>
      <c r="H33">
        <v>0.5252</v>
      </c>
      <c r="I33">
        <v>0</v>
      </c>
    </row>
    <row r="34" spans="1:9" x14ac:dyDescent="0.3">
      <c r="A34">
        <v>32</v>
      </c>
      <c r="B34">
        <v>637</v>
      </c>
      <c r="C34" t="s">
        <v>137</v>
      </c>
      <c r="D34" t="s">
        <v>138</v>
      </c>
      <c r="E34" t="s">
        <v>139</v>
      </c>
      <c r="F34" t="s">
        <v>140</v>
      </c>
      <c r="G34">
        <v>1</v>
      </c>
      <c r="H34">
        <v>1</v>
      </c>
      <c r="I34">
        <v>1</v>
      </c>
    </row>
    <row r="35" spans="1:9" x14ac:dyDescent="0.3">
      <c r="A35">
        <v>33</v>
      </c>
      <c r="B35">
        <v>1625</v>
      </c>
      <c r="C35" t="s">
        <v>141</v>
      </c>
      <c r="D35" t="s">
        <v>142</v>
      </c>
      <c r="E35" t="s">
        <v>143</v>
      </c>
      <c r="F35" t="s">
        <v>144</v>
      </c>
      <c r="G35">
        <v>1</v>
      </c>
      <c r="H35">
        <v>1</v>
      </c>
      <c r="I35">
        <v>1</v>
      </c>
    </row>
    <row r="36" spans="1:9" x14ac:dyDescent="0.3">
      <c r="A36">
        <v>34</v>
      </c>
      <c r="B36">
        <v>1583</v>
      </c>
      <c r="C36" t="s">
        <v>145</v>
      </c>
      <c r="D36" t="s">
        <v>146</v>
      </c>
      <c r="E36" t="s">
        <v>147</v>
      </c>
      <c r="F36" t="s">
        <v>148</v>
      </c>
      <c r="G36">
        <v>3</v>
      </c>
      <c r="H36">
        <v>0.27360000000000001</v>
      </c>
      <c r="I36">
        <v>0</v>
      </c>
    </row>
    <row r="37" spans="1:9" x14ac:dyDescent="0.3">
      <c r="A37">
        <v>35</v>
      </c>
      <c r="B37">
        <v>81</v>
      </c>
      <c r="C37" t="s">
        <v>149</v>
      </c>
      <c r="D37" t="s">
        <v>150</v>
      </c>
      <c r="E37" t="s">
        <v>151</v>
      </c>
      <c r="F37" t="s">
        <v>152</v>
      </c>
      <c r="G37">
        <v>1</v>
      </c>
      <c r="H37">
        <v>1</v>
      </c>
      <c r="I37">
        <v>1</v>
      </c>
    </row>
    <row r="38" spans="1:9" x14ac:dyDescent="0.3">
      <c r="A38">
        <v>36</v>
      </c>
      <c r="B38">
        <v>832</v>
      </c>
      <c r="C38" t="s">
        <v>153</v>
      </c>
      <c r="D38" t="s">
        <v>154</v>
      </c>
      <c r="E38" t="s">
        <v>155</v>
      </c>
      <c r="F38" t="s">
        <v>156</v>
      </c>
      <c r="G38">
        <v>6</v>
      </c>
      <c r="H38">
        <v>0.71689999999999998</v>
      </c>
      <c r="I38">
        <v>0</v>
      </c>
    </row>
    <row r="39" spans="1:9" x14ac:dyDescent="0.3">
      <c r="A39">
        <v>37</v>
      </c>
      <c r="B39">
        <v>1000</v>
      </c>
      <c r="C39" t="s">
        <v>157</v>
      </c>
      <c r="D39" t="s">
        <v>158</v>
      </c>
      <c r="E39" t="s">
        <v>159</v>
      </c>
      <c r="F39" t="s">
        <v>160</v>
      </c>
      <c r="G39">
        <v>2</v>
      </c>
      <c r="H39">
        <v>1</v>
      </c>
      <c r="I39">
        <v>1</v>
      </c>
    </row>
    <row r="40" spans="1:9" x14ac:dyDescent="0.3">
      <c r="A40">
        <v>38</v>
      </c>
      <c r="B40">
        <v>730</v>
      </c>
      <c r="C40" t="s">
        <v>161</v>
      </c>
      <c r="D40" t="s">
        <v>162</v>
      </c>
      <c r="E40" t="s">
        <v>163</v>
      </c>
      <c r="F40" t="s">
        <v>164</v>
      </c>
      <c r="G40">
        <v>3</v>
      </c>
      <c r="H40">
        <v>0.42270000000000002</v>
      </c>
      <c r="I40">
        <v>0</v>
      </c>
    </row>
    <row r="41" spans="1:9" x14ac:dyDescent="0.3">
      <c r="A41">
        <v>39</v>
      </c>
      <c r="B41">
        <v>1634</v>
      </c>
      <c r="C41" t="s">
        <v>165</v>
      </c>
      <c r="D41" t="s">
        <v>166</v>
      </c>
      <c r="E41" t="s">
        <v>167</v>
      </c>
      <c r="F41" t="s">
        <v>168</v>
      </c>
      <c r="G41">
        <v>3</v>
      </c>
      <c r="H41">
        <v>0.30909999999999999</v>
      </c>
      <c r="I41">
        <v>0</v>
      </c>
    </row>
    <row r="42" spans="1:9" x14ac:dyDescent="0.3">
      <c r="A42">
        <v>40</v>
      </c>
      <c r="B42">
        <v>867</v>
      </c>
      <c r="C42" t="s">
        <v>169</v>
      </c>
      <c r="D42" t="s">
        <v>170</v>
      </c>
      <c r="E42" t="s">
        <v>171</v>
      </c>
      <c r="F42" t="s">
        <v>172</v>
      </c>
      <c r="G42">
        <v>3</v>
      </c>
      <c r="H42">
        <v>0.59179999999999999</v>
      </c>
      <c r="I42">
        <v>0</v>
      </c>
    </row>
    <row r="43" spans="1:9" x14ac:dyDescent="0.3">
      <c r="A43">
        <v>41</v>
      </c>
      <c r="B43">
        <v>935</v>
      </c>
      <c r="C43" t="s">
        <v>173</v>
      </c>
      <c r="D43" t="s">
        <v>174</v>
      </c>
      <c r="E43" t="s">
        <v>175</v>
      </c>
      <c r="F43" t="s">
        <v>176</v>
      </c>
      <c r="G43">
        <v>1</v>
      </c>
      <c r="H43">
        <v>1</v>
      </c>
      <c r="I43">
        <v>1</v>
      </c>
    </row>
    <row r="44" spans="1:9" x14ac:dyDescent="0.3">
      <c r="A44">
        <v>42</v>
      </c>
      <c r="B44">
        <v>1610</v>
      </c>
      <c r="C44" t="s">
        <v>177</v>
      </c>
      <c r="D44" t="s">
        <v>178</v>
      </c>
      <c r="E44" t="s">
        <v>179</v>
      </c>
      <c r="F44" t="s">
        <v>180</v>
      </c>
      <c r="G44">
        <v>1</v>
      </c>
      <c r="H44">
        <v>1</v>
      </c>
      <c r="I44">
        <v>1</v>
      </c>
    </row>
    <row r="45" spans="1:9" x14ac:dyDescent="0.3">
      <c r="A45">
        <v>43</v>
      </c>
      <c r="B45">
        <v>1599</v>
      </c>
      <c r="C45" t="s">
        <v>181</v>
      </c>
      <c r="D45" t="s">
        <v>182</v>
      </c>
      <c r="E45" t="s">
        <v>183</v>
      </c>
      <c r="F45" t="s">
        <v>184</v>
      </c>
      <c r="G45">
        <v>2</v>
      </c>
      <c r="H45">
        <v>1</v>
      </c>
      <c r="I45">
        <v>1</v>
      </c>
    </row>
    <row r="46" spans="1:9" x14ac:dyDescent="0.3">
      <c r="A46">
        <v>44</v>
      </c>
      <c r="B46">
        <v>1088</v>
      </c>
      <c r="C46" t="s">
        <v>185</v>
      </c>
      <c r="D46" t="s">
        <v>186</v>
      </c>
      <c r="E46" t="s">
        <v>187</v>
      </c>
      <c r="F46" t="s">
        <v>188</v>
      </c>
      <c r="G46">
        <v>2</v>
      </c>
      <c r="H46">
        <v>0.9788</v>
      </c>
      <c r="I46">
        <v>1</v>
      </c>
    </row>
    <row r="47" spans="1:9" x14ac:dyDescent="0.3">
      <c r="A47">
        <v>45</v>
      </c>
      <c r="B47">
        <v>436</v>
      </c>
      <c r="C47" t="s">
        <v>189</v>
      </c>
      <c r="D47" t="s">
        <v>190</v>
      </c>
      <c r="E47" t="s">
        <v>191</v>
      </c>
      <c r="F47" t="s">
        <v>192</v>
      </c>
      <c r="G47">
        <v>1</v>
      </c>
      <c r="H47">
        <v>1</v>
      </c>
      <c r="I47">
        <v>1</v>
      </c>
    </row>
    <row r="48" spans="1:9" x14ac:dyDescent="0.3">
      <c r="A48">
        <v>46</v>
      </c>
      <c r="B48">
        <v>1142</v>
      </c>
      <c r="C48" t="s">
        <v>193</v>
      </c>
      <c r="D48" t="s">
        <v>194</v>
      </c>
      <c r="E48" t="s">
        <v>195</v>
      </c>
      <c r="F48" t="s">
        <v>196</v>
      </c>
      <c r="G48">
        <v>4</v>
      </c>
      <c r="H48">
        <v>0.26910000000000001</v>
      </c>
      <c r="I48">
        <v>0</v>
      </c>
    </row>
    <row r="49" spans="1:9" x14ac:dyDescent="0.3">
      <c r="A49">
        <v>47</v>
      </c>
      <c r="B49">
        <v>464</v>
      </c>
      <c r="C49" t="s">
        <v>197</v>
      </c>
      <c r="D49" t="s">
        <v>198</v>
      </c>
      <c r="E49" t="s">
        <v>199</v>
      </c>
      <c r="F49" t="s">
        <v>200</v>
      </c>
      <c r="G49">
        <v>4</v>
      </c>
      <c r="H49">
        <v>0.95430000000000004</v>
      </c>
      <c r="I49">
        <v>1</v>
      </c>
    </row>
    <row r="50" spans="1:9" x14ac:dyDescent="0.3">
      <c r="A50">
        <v>48</v>
      </c>
      <c r="B50">
        <v>582</v>
      </c>
      <c r="C50" t="s">
        <v>201</v>
      </c>
      <c r="D50" t="s">
        <v>202</v>
      </c>
      <c r="E50" t="s">
        <v>203</v>
      </c>
      <c r="F50" t="s">
        <v>204</v>
      </c>
      <c r="G50">
        <v>1</v>
      </c>
      <c r="H50">
        <v>1</v>
      </c>
      <c r="I50">
        <v>1</v>
      </c>
    </row>
    <row r="51" spans="1:9" x14ac:dyDescent="0.3">
      <c r="A51">
        <v>49</v>
      </c>
      <c r="B51">
        <v>574</v>
      </c>
      <c r="C51" t="s">
        <v>205</v>
      </c>
      <c r="D51" t="s">
        <v>206</v>
      </c>
      <c r="E51" t="s">
        <v>207</v>
      </c>
      <c r="F51" t="s">
        <v>208</v>
      </c>
      <c r="G51">
        <v>3</v>
      </c>
      <c r="H51">
        <v>0.35410000000000003</v>
      </c>
      <c r="I51">
        <v>0</v>
      </c>
    </row>
    <row r="52" spans="1:9" x14ac:dyDescent="0.3">
      <c r="G52">
        <f>AVERAGE(G2:G51)</f>
        <v>2.4</v>
      </c>
      <c r="I52">
        <f>SUM(I2:I51)</f>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2025-11-27T04:25:42Z</dcterms:created>
  <dcterms:modified xsi:type="dcterms:W3CDTF">2025-11-27T05:43:39Z</dcterms:modified>
</cp:coreProperties>
</file>