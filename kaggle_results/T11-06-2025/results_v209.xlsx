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06-2025\"/>
    </mc:Choice>
  </mc:AlternateContent>
  <xr:revisionPtr revIDLastSave="0" documentId="13_ncr:1_{133F93CF-87FD-44A9-9136-0831AE600D8B}"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Low" sheetId="2" r:id="rId2"/>
  </sheets>
  <definedNames>
    <definedName name="_xlnm._FilterDatabase" localSheetId="1" hidden="1">Low!$A$1:$L$52</definedName>
    <definedName name="_xlnm._FilterDatabase" localSheetId="0" hidden="1">Sheet1!$A$1:$L$52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 i="2" l="1"/>
  <c r="L49" i="2"/>
  <c r="L18" i="2"/>
  <c r="L48" i="2"/>
  <c r="L47" i="2"/>
  <c r="L45" i="2"/>
  <c r="L15" i="2"/>
  <c r="L44" i="2"/>
  <c r="L43" i="2"/>
  <c r="L27" i="2"/>
  <c r="L41" i="2"/>
  <c r="L40" i="2"/>
  <c r="L39" i="2"/>
  <c r="L38" i="2"/>
  <c r="L37" i="2"/>
  <c r="L36" i="2"/>
  <c r="L13" i="2"/>
  <c r="L34" i="2"/>
  <c r="L33" i="2"/>
  <c r="L32" i="2"/>
  <c r="L26" i="2"/>
  <c r="L30" i="2"/>
  <c r="L29" i="2"/>
  <c r="L28" i="2"/>
  <c r="L50" i="2"/>
  <c r="L42" i="2"/>
  <c r="L25" i="2"/>
  <c r="L19" i="2"/>
  <c r="L23" i="2"/>
  <c r="L22" i="2"/>
  <c r="L21" i="2"/>
  <c r="L20" i="2"/>
  <c r="L9" i="2"/>
  <c r="L6" i="2"/>
  <c r="L17" i="2"/>
  <c r="L16" i="2"/>
  <c r="L35" i="2"/>
  <c r="L14" i="2"/>
  <c r="L7" i="2"/>
  <c r="L12" i="2"/>
  <c r="L11" i="2"/>
  <c r="L10" i="2"/>
  <c r="L46" i="2"/>
  <c r="L8" i="2"/>
  <c r="L24" i="2"/>
  <c r="L31" i="2"/>
  <c r="L5" i="2"/>
  <c r="L4" i="2"/>
  <c r="L3" i="2"/>
  <c r="L2" i="2"/>
  <c r="L3" i="1"/>
  <c r="L4" i="1"/>
  <c r="L5" i="1"/>
  <c r="L18" i="1"/>
  <c r="L13" i="1"/>
  <c r="L8" i="1"/>
  <c r="L19" i="1"/>
  <c r="L10" i="1"/>
  <c r="L11" i="1"/>
  <c r="L12" i="1"/>
  <c r="L35" i="1"/>
  <c r="L14" i="1"/>
  <c r="L45" i="1"/>
  <c r="L16" i="1"/>
  <c r="L17" i="1"/>
  <c r="L49" i="1"/>
  <c r="L24" i="1"/>
  <c r="L20" i="1"/>
  <c r="L21" i="1"/>
  <c r="L22" i="1"/>
  <c r="L23" i="1"/>
  <c r="L7" i="1"/>
  <c r="L25" i="1"/>
  <c r="L31" i="1"/>
  <c r="L42" i="1"/>
  <c r="L28" i="1"/>
  <c r="L29" i="1"/>
  <c r="L30" i="1"/>
  <c r="L6" i="1"/>
  <c r="L32" i="1"/>
  <c r="L33" i="1"/>
  <c r="L34" i="1"/>
  <c r="L15" i="1"/>
  <c r="L36" i="1"/>
  <c r="L37" i="1"/>
  <c r="L38" i="1"/>
  <c r="L39" i="1"/>
  <c r="L40" i="1"/>
  <c r="L41" i="1"/>
  <c r="L26" i="1"/>
  <c r="L43" i="1"/>
  <c r="L44" i="1"/>
  <c r="L46" i="1"/>
  <c r="L9" i="1"/>
  <c r="L47" i="1"/>
  <c r="L48" i="1"/>
  <c r="L50" i="1"/>
  <c r="L27" i="1"/>
  <c r="L51" i="1"/>
  <c r="L2" i="1"/>
</calcChain>
</file>

<file path=xl/sharedStrings.xml><?xml version="1.0" encoding="utf-8"?>
<sst xmlns="http://schemas.openxmlformats.org/spreadsheetml/2006/main" count="722" uniqueCount="325">
  <si>
    <t>Sample_ID</t>
  </si>
  <si>
    <t>Question</t>
  </si>
  <si>
    <t>Original_Context</t>
  </si>
  <si>
    <t>Full_Chunk_Score_Breakdown</t>
  </si>
  <si>
    <t>Augmented_Context_Used</t>
  </si>
  <si>
    <t>Ground_Truth_Answer</t>
  </si>
  <si>
    <t>From_highlight_EN_Answer</t>
  </si>
  <si>
    <t>From_highlight_EN_Avg-Score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</si>
  <si>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</si>
  <si>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</si>
  <si>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</si>
  <si>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</si>
  <si>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</si>
  <si>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</si>
  <si>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</si>
  <si>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</si>
  <si>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</si>
  <si>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</si>
  <si>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</si>
  <si>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</si>
  <si>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</si>
  <si>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</si>
  <si>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</si>
  <si>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</si>
  <si>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</si>
  <si>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</si>
  <si>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</si>
  <si>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</si>
  <si>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</si>
  <si>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</si>
  <si>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</si>
  <si>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</si>
  <si>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</si>
  <si>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</si>
  <si>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</si>
  <si>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</si>
  <si>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</si>
  <si>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</si>
  <si>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</si>
  <si>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</si>
  <si>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&lt;highlight&gt;Nghiên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</si>
  <si>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</si>
  <si>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bộ phận của cây Ổi như lá, hoa và quả.</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</si>
  <si>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</si>
  <si>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</si>
  <si>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</si>
  <si>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</si>
  <si>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</si>
  <si>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</si>
  <si>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</si>
  <si>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</si>
  <si>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</si>
  <si>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</si>
  <si>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</si>
  <si>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</si>
  <si>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</si>
  <si>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</si>
  <si>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</si>
  <si>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</si>
  <si>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</si>
  <si>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</si>
  <si>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</si>
  <si>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</si>
  <si>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</si>
  <si>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</si>
  <si>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</si>
  <si>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</si>
  <si>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</si>
  <si>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</si>
  <si>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</si>
  <si>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sức.&lt;/highlight&gt; Tập thể dục vừa sức.
&lt;highlight&gt;-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</si>
  <si>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</si>
  <si>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</si>
  <si>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</si>
  <si>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</si>
  <si>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</si>
  <si>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</si>
  <si>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</si>
  <si>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</si>
  <si>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</si>
  <si>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</si>
  <si>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</si>
  <si>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</si>
  <si>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</si>
  <si>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</si>
  <si>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</si>
  <si>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</si>
  <si>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</si>
  <si>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</si>
  <si>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 nên phải cây hút chất dinh dưỡng từ cây khác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</si>
  <si>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</si>
  <si>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</si>
  <si>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</si>
  <si>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</si>
  <si>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</si>
  <si>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</si>
  <si>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</si>
  <si>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</si>
  <si>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</si>
  <si>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</si>
  <si>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</si>
  <si>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</si>
  <si>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</si>
  <si>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</si>
  <si>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</si>
  <si>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</si>
  <si>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</si>
  <si>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</si>
  <si>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</si>
  <si>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</si>
  <si>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</si>
  <si>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</si>
  <si>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</si>
  <si>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</si>
  <si>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</si>
  <si>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</si>
  <si>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</si>
  <si>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</si>
  <si>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</si>
  <si>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</si>
  <si>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</si>
  <si>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</si>
  <si>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</si>
  <si>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</si>
  <si>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</si>
  <si>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</si>
  <si>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</si>
  <si>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</si>
  <si>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</si>
  <si>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</si>
  <si>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</si>
  <si>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</si>
  <si>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</si>
  <si>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</si>
  <si>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</si>
  <si>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</si>
  <si>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</si>
  <si>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</si>
  <si>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</si>
  <si>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</si>
  <si>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</si>
  <si>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</si>
  <si>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</si>
  <si>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</si>
  <si>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</si>
  <si>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</si>
  <si>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</si>
  <si>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</si>
  <si>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</si>
  <si>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</si>
  <si>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</si>
  <si>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</si>
  <si>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</si>
  <si>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</si>
  <si>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</si>
  <si>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</si>
  <si>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</si>
  <si>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</si>
  <si>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</si>
  <si>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</si>
  <si>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</si>
  <si>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</si>
  <si>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</si>
  <si>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</si>
  <si>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</si>
  <si>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</si>
  <si>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</si>
  <si>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</si>
  <si>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</si>
  <si>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</si>
  <si>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</si>
  <si>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</si>
  <si>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</si>
  <si>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</si>
  <si>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</si>
  <si>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</si>
  <si>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</si>
  <si>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</si>
  <si>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</si>
  <si>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</si>
  <si>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</si>
  <si>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</si>
  <si>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</si>
  <si>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</si>
  <si>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</si>
  <si>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</si>
  <si>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</si>
  <si>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</si>
  <si>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</si>
  <si>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</si>
  <si>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</si>
  <si>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</si>
  <si>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&lt;highlight&gt;-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</si>
  <si>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</si>
  <si>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</si>
  <si>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</si>
  <si>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</si>
  <si>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</si>
  <si>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</si>
  <si>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</si>
  <si>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</si>
  <si>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</si>
  <si>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</si>
  <si>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</si>
  <si>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</si>
  <si>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</si>
  <si>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</si>
  <si>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</si>
  <si>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</si>
  <si>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</si>
  <si>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</si>
  <si>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</si>
  <si>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</si>
  <si>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</si>
  <si>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</si>
  <si>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</si>
  <si>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</si>
  <si>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</si>
  <si>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</si>
  <si>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</si>
  <si>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</si>
  <si>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</si>
  <si>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</si>
  <si>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</si>
  <si>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</si>
  <si>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</si>
  <si>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</si>
  <si>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</si>
  <si>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</si>
  <si>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</si>
  <si>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</si>
  <si>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</si>
  <si>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</si>
  <si>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</si>
  <si>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</si>
  <si>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</si>
  <si>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</si>
  <si>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</si>
  <si>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</si>
  <si>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</si>
  <si>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</si>
  <si>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</si>
  <si>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</si>
  <si>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</si>
  <si>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</si>
  <si>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</si>
  <si>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</si>
  <si>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</si>
  <si>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</si>
  <si>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</si>
  <si>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</si>
  <si>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</si>
  <si>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</si>
  <si>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</si>
  <si>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</si>
  <si>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</si>
  <si>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</si>
  <si>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</si>
  <si>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</si>
  <si>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</si>
  <si>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</si>
  <si>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</si>
  <si>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</si>
  <si>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</si>
  <si>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</si>
  <si>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</si>
  <si>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</si>
  <si>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</si>
  <si>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</si>
  <si>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</si>
  <si>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loét dạ dày – tá tràng, thủng dạ dày và tế bào ung thư gastrinoma có khả năng ác tính cao.</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</si>
  <si>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</si>
  <si>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</si>
  <si>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</si>
  <si>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</si>
  <si>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</si>
  <si>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</si>
  <si>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</si>
  <si>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</si>
  <si>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</si>
  <si>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</si>
  <si>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</si>
  <si>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</si>
  <si>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</si>
  <si>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</si>
  <si>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</si>
  <si>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</si>
  <si>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</si>
  <si>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</si>
  <si>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</si>
  <si>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</si>
  <si>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</si>
  <si>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</si>
  <si>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</si>
  <si>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</si>
  <si>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</si>
  <si>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</si>
  <si>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</si>
  <si>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</si>
  <si>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t>Extract_EN_Answer</t>
  </si>
  <si>
    <t>Extract_EN_Avg-Score</t>
  </si>
  <si>
    <t>Ở trẻ trên 3 tháng tuổi.</t>
  </si>
  <si>
    <t>Cây ổi chứa các thành phần hóa học như: tinh dầu từ lá ổi, quả ổi, hoa ổi, cao lá ổi, hoa ổi, quả ổi, tinh dầu từ lá ổi, quả ổi, hoa ổi, cao lá</t>
  </si>
  <si>
    <t>Liều dùng chung của Tam thất thông thường là 0,9 – 4,5 g (không quá 9 g một ngày).</t>
  </si>
  <si>
    <t>Các chuyên viên vật lí trị liệu có thể hướng dẫn những bài tập an toàn, thích hợp.</t>
  </si>
  <si>
    <t>Không, dây tơ hồng vàng không có khả năng quang hợp.</t>
  </si>
  <si>
    <t>Siêu âm bụng.</t>
  </si>
  <si>
    <t>Người cao tuổi (&gt;65 tuổi) không cần điều chỉnh liều. Tuy nhiên, đối với người cao tuổi có trọng lượng cơ thể &lt;50 kg, phải bắt đầu điều trị với liều được khuyến cáo thấp nhất.</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</si>
  <si>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</si>
  <si>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</si>
  <si>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Hormonee giáp T4, T3, hormonee kiểm soát tuyến giáp TSH và các tự kháng thể tuyến giáp.</t>
  </si>
  <si>
    <t>Ung thư ruột non xuất hiện tắc ruột trong 15 – 35% các trường hợp.</t>
  </si>
  <si>
    <t>Chẩn đoán chính xác u nhú thanh quản thông qua sinh thiết, bao gồm xét nghiệm bằng kính hiển vi và xét nghiệm HPV trên một mẫu sinh thiết.</t>
  </si>
  <si>
    <t>U xơ tử cung thường gây ra các triệu chứng như chảy máu bất thường và đau khi quan hệ, hay đau âm ỉ bụng dưới…</t>
  </si>
  <si>
    <t>Cơ thể mỗi người có 3 cặp tuyến nước bọt chính.</t>
  </si>
  <si>
    <t>Tình trạng dư thừa gastrin có thể gây ra hậu quả thủng dạ dày nếu không được điều trị.</t>
  </si>
  <si>
    <t>Đoạn thân (cành) của Câu đằng được sử dụng làm dược liệu.</t>
  </si>
  <si>
    <t>Hạ khô thảo dễ mọc tự nhiên ở các vùng có độ cao 1.000 – 1.500m so với mực nước biển. Cây mọc tốt nhất trong môi trường ẩm ướt, mưa nhiều, nhiệt độ tầm 15 – 18°C. Cây không chịu được nắng nóng.</t>
  </si>
  <si>
    <t>Avg_Score_Difference</t>
  </si>
  <si>
    <r>
      <rPr>
        <b/>
        <sz val="11"/>
        <color theme="1"/>
        <rFont val="Arial"/>
        <family val="2"/>
        <scheme val="minor"/>
      </rPr>
      <t>&lt;highlight&gt;</t>
    </r>
    <r>
      <rPr>
        <sz val="11"/>
        <color theme="1"/>
        <rFont val="Arial"/>
        <family val="2"/>
        <scheme val="minor"/>
      </rPr>
      <t xml:space="preserve">-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t>
    </r>
    <r>
      <rPr>
        <b/>
        <sz val="11"/>
        <color theme="1"/>
        <rFont val="Arial"/>
        <family val="2"/>
        <scheme val="minor"/>
      </rPr>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r>
    <r>
      <rPr>
        <sz val="11"/>
        <color theme="1"/>
        <rFont val="Arial"/>
        <family val="2"/>
        <scheme val="minor"/>
      </rPr>
      <t xml:space="preserve">
- Loại có 2 móc câu được coi là tốt hơn.</t>
    </r>
    <r>
      <rPr>
        <b/>
        <sz val="11"/>
        <color theme="1"/>
        <rFont val="Arial"/>
        <family val="2"/>
        <scheme val="minor"/>
      </rPr>
      <t>&lt;/highlight&gt;</t>
    </r>
  </si>
  <si>
    <r>
      <rPr>
        <b/>
        <sz val="11"/>
        <color theme="1"/>
        <rFont val="Arial"/>
        <family val="2"/>
        <scheme val="minor"/>
      </rPr>
      <t>&lt;highlight&gt;</t>
    </r>
    <r>
      <rPr>
        <sz val="11"/>
        <color theme="1"/>
        <rFont val="Arial"/>
        <family val="2"/>
        <scheme val="minor"/>
      </rPr>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r>
    <r>
      <rPr>
        <b/>
        <sz val="11"/>
        <color theme="1"/>
        <rFont val="Arial"/>
        <family val="2"/>
        <scheme val="minor"/>
      </rPr>
      <t>&lt;/highlight&gt;</t>
    </r>
  </si>
  <si>
    <r>
      <t xml:space="preserve">Chẩn đoán thoát vị hoành cần phối hợp hỏi bệnh, khám lâm sàng và cận lâm sàng. Tuỳ theo tuổi, dấu hiệu bệnh mà bác sĩ sẽ có các xét nghiệm phù hợp. </t>
    </r>
    <r>
      <rPr>
        <b/>
        <sz val="11"/>
        <color theme="1"/>
        <rFont val="Arial"/>
        <family val="2"/>
        <scheme val="minor"/>
      </rPr>
      <t>&lt;highlight&gt;Các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t>
    </r>
    <r>
      <rPr>
        <sz val="11"/>
        <color theme="1"/>
        <rFont val="Arial"/>
        <family val="2"/>
        <scheme val="minor"/>
      </rPr>
      <t xml:space="preserve">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r>
  </si>
  <si>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</si>
  <si>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r>
      <rPr>
        <b/>
        <sz val="11"/>
        <color theme="1"/>
        <rFont val="Arial"/>
        <family val="2"/>
        <scheme val="minor"/>
      </rPr>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t>
    </r>
    <r>
      <rPr>
        <sz val="11"/>
        <color theme="1"/>
        <rFont val="Arial"/>
        <family val="2"/>
        <scheme val="minor"/>
      </rPr>
      <t xml:space="preserve"> Cây không chịu được nắng nóng.</t>
    </r>
  </si>
  <si>
    <r>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t>
    </r>
    <r>
      <rPr>
        <b/>
        <sz val="11"/>
        <color theme="1"/>
        <rFont val="Arial"/>
        <family val="2"/>
        <scheme val="minor"/>
      </rPr>
      <t xml:space="preserve">&lt;highlight&gt;Bác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</si>
</sst>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11"/>
      <color rgb="FFFF0000"/>
      <name val="Arial"/>
      <family val="2"/>
      <scheme val="minor"/>
    </font>
    <font>
      <b/>
      <sz val="11"/>
      <color theme="1"/>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0" borderId="0" xfId="0" applyAlignment="1">
      <alignment wrapText="1"/>
    </xf>
    <xf numFmtId="0" fontId="0" fillId="3" borderId="0" xfId="0" applyFill="1"/>
    <xf numFmtId="0" fontId="0" fillId="3" borderId="0" xfId="0" applyFill="1" applyAlignment="1">
      <alignment wrapText="1"/>
    </xf>
    <xf numFmtId="0" fontId="2" fillId="3" borderId="0" xfId="0" applyFont="1" applyFill="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1"/>
  <sheetViews>
    <sheetView zoomScale="116" zoomScaleNormal="116" workbookViewId="0">
      <selection activeCell="L27" sqref="L27"/>
    </sheetView>
  </sheetViews>
  <sheetFormatPr defaultRowHeight="14.25" x14ac:dyDescent="0.2"/>
  <cols>
    <col min="5" max="5" width="49" customWidth="1"/>
  </cols>
  <sheetData>
    <row r="1" spans="1:12" ht="15" x14ac:dyDescent="0.2">
      <c r="A1" s="1" t="s">
        <v>0</v>
      </c>
      <c r="B1" s="1" t="s">
        <v>1</v>
      </c>
      <c r="C1" s="1" t="s">
        <v>2</v>
      </c>
      <c r="D1" s="1" t="s">
        <v>3</v>
      </c>
      <c r="E1" s="1" t="s">
        <v>4</v>
      </c>
      <c r="F1" s="1" t="s">
        <v>5</v>
      </c>
      <c r="G1" s="1" t="s">
        <v>6</v>
      </c>
      <c r="H1" s="1" t="s">
        <v>7</v>
      </c>
      <c r="J1" t="s">
        <v>299</v>
      </c>
      <c r="K1" t="s">
        <v>300</v>
      </c>
      <c r="L1" t="s">
        <v>318</v>
      </c>
    </row>
    <row r="2" spans="1:12" hidden="1" x14ac:dyDescent="0.2">
      <c r="A2">
        <v>0</v>
      </c>
      <c r="B2" t="s">
        <v>8</v>
      </c>
      <c r="C2" t="s">
        <v>9</v>
      </c>
      <c r="D2" t="s">
        <v>10</v>
      </c>
      <c r="E2" t="s">
        <v>11</v>
      </c>
      <c r="F2" t="s">
        <v>12</v>
      </c>
      <c r="G2" t="s">
        <v>12</v>
      </c>
      <c r="H2">
        <v>1</v>
      </c>
      <c r="J2" t="s">
        <v>12</v>
      </c>
      <c r="K2">
        <v>1</v>
      </c>
      <c r="L2">
        <f>H2-K2</f>
        <v>0</v>
      </c>
    </row>
    <row r="3" spans="1:12" hidden="1" x14ac:dyDescent="0.2">
      <c r="A3">
        <v>1</v>
      </c>
      <c r="B3" t="s">
        <v>13</v>
      </c>
      <c r="C3" t="s">
        <v>14</v>
      </c>
      <c r="D3" t="s">
        <v>15</v>
      </c>
      <c r="E3" t="s">
        <v>16</v>
      </c>
      <c r="F3" t="s">
        <v>17</v>
      </c>
      <c r="G3" t="s">
        <v>18</v>
      </c>
      <c r="H3">
        <v>0.65280000000000005</v>
      </c>
      <c r="J3" t="s">
        <v>18</v>
      </c>
      <c r="K3">
        <v>0.65280000000000005</v>
      </c>
      <c r="L3">
        <f t="shared" ref="L3:L5" si="0">H3-K3</f>
        <v>0</v>
      </c>
    </row>
    <row r="4" spans="1:12" hidden="1" x14ac:dyDescent="0.2">
      <c r="A4">
        <v>2</v>
      </c>
      <c r="B4" t="s">
        <v>19</v>
      </c>
      <c r="C4" t="s">
        <v>20</v>
      </c>
      <c r="D4" t="s">
        <v>21</v>
      </c>
      <c r="E4" t="s">
        <v>22</v>
      </c>
      <c r="F4" t="s">
        <v>23</v>
      </c>
      <c r="G4" t="s">
        <v>24</v>
      </c>
      <c r="H4">
        <v>0.66349999999999998</v>
      </c>
      <c r="J4" t="s">
        <v>24</v>
      </c>
      <c r="K4">
        <v>0.66349999999999998</v>
      </c>
      <c r="L4">
        <f t="shared" si="0"/>
        <v>0</v>
      </c>
    </row>
    <row r="5" spans="1:12" hidden="1" x14ac:dyDescent="0.2">
      <c r="A5">
        <v>3</v>
      </c>
      <c r="B5" t="s">
        <v>25</v>
      </c>
      <c r="C5" t="s">
        <v>26</v>
      </c>
      <c r="D5" t="s">
        <v>27</v>
      </c>
      <c r="E5" t="s">
        <v>28</v>
      </c>
      <c r="F5" t="s">
        <v>29</v>
      </c>
      <c r="G5" t="s">
        <v>30</v>
      </c>
      <c r="H5">
        <v>0.92369999999999997</v>
      </c>
      <c r="J5" t="s">
        <v>30</v>
      </c>
      <c r="K5">
        <v>0.92369999999999997</v>
      </c>
      <c r="L5">
        <f t="shared" si="0"/>
        <v>0</v>
      </c>
    </row>
    <row r="6" spans="1:12" s="2" customFormat="1" ht="299.25" hidden="1" x14ac:dyDescent="0.2">
      <c r="A6" s="2">
        <v>29</v>
      </c>
      <c r="B6" s="2" t="s">
        <v>177</v>
      </c>
      <c r="C6" s="2" t="s">
        <v>178</v>
      </c>
      <c r="D6" s="2" t="s">
        <v>179</v>
      </c>
      <c r="E6" s="3" t="s">
        <v>180</v>
      </c>
      <c r="F6" s="2" t="s">
        <v>181</v>
      </c>
      <c r="G6" s="2" t="s">
        <v>182</v>
      </c>
      <c r="H6" s="2">
        <v>0.82379999999999998</v>
      </c>
      <c r="J6" s="2" t="s">
        <v>311</v>
      </c>
      <c r="K6" s="2">
        <v>0.93489999999999995</v>
      </c>
      <c r="L6" s="2">
        <f t="shared" ref="L6:L51" si="1">H6-K6</f>
        <v>-0.11109999999999998</v>
      </c>
    </row>
    <row r="7" spans="1:12" x14ac:dyDescent="0.2">
      <c r="A7">
        <v>22</v>
      </c>
      <c r="B7" t="s">
        <v>137</v>
      </c>
      <c r="C7" t="s">
        <v>138</v>
      </c>
      <c r="D7" t="s">
        <v>139</v>
      </c>
      <c r="E7" t="s">
        <v>140</v>
      </c>
      <c r="F7" t="s">
        <v>141</v>
      </c>
      <c r="G7" t="s">
        <v>142</v>
      </c>
      <c r="H7">
        <v>0.54049999999999998</v>
      </c>
      <c r="J7" t="s">
        <v>308</v>
      </c>
      <c r="K7">
        <v>0.63549999999999995</v>
      </c>
      <c r="L7">
        <f t="shared" si="1"/>
        <v>-9.4999999999999973E-2</v>
      </c>
    </row>
    <row r="8" spans="1:12" hidden="1" x14ac:dyDescent="0.2">
      <c r="A8">
        <v>6</v>
      </c>
      <c r="B8" t="s">
        <v>43</v>
      </c>
      <c r="C8" t="s">
        <v>44</v>
      </c>
      <c r="D8" t="s">
        <v>45</v>
      </c>
      <c r="E8" t="s">
        <v>46</v>
      </c>
      <c r="F8" t="s">
        <v>47</v>
      </c>
      <c r="G8" t="s">
        <v>48</v>
      </c>
      <c r="H8">
        <v>0.94279999999999997</v>
      </c>
      <c r="J8" t="s">
        <v>48</v>
      </c>
      <c r="K8">
        <v>0.94279999999999997</v>
      </c>
      <c r="L8">
        <f t="shared" si="1"/>
        <v>0</v>
      </c>
    </row>
    <row r="9" spans="1:12" x14ac:dyDescent="0.2">
      <c r="A9">
        <v>44</v>
      </c>
      <c r="B9" t="s">
        <v>265</v>
      </c>
      <c r="C9" t="s">
        <v>266</v>
      </c>
      <c r="D9" t="s">
        <v>267</v>
      </c>
      <c r="E9" t="s">
        <v>268</v>
      </c>
      <c r="F9" t="s">
        <v>269</v>
      </c>
      <c r="G9" t="s">
        <v>270</v>
      </c>
      <c r="H9">
        <v>0.56889999999999996</v>
      </c>
      <c r="J9" t="s">
        <v>315</v>
      </c>
      <c r="K9">
        <v>0.63590000000000002</v>
      </c>
      <c r="L9">
        <f t="shared" si="1"/>
        <v>-6.700000000000006E-2</v>
      </c>
    </row>
    <row r="10" spans="1:12" hidden="1" x14ac:dyDescent="0.2">
      <c r="A10">
        <v>8</v>
      </c>
      <c r="B10" t="s">
        <v>55</v>
      </c>
      <c r="C10" t="s">
        <v>56</v>
      </c>
      <c r="D10" t="s">
        <v>57</v>
      </c>
      <c r="E10" t="s">
        <v>58</v>
      </c>
      <c r="F10" t="s">
        <v>59</v>
      </c>
      <c r="G10" t="s">
        <v>60</v>
      </c>
      <c r="H10">
        <v>0.43340000000000001</v>
      </c>
      <c r="J10" t="s">
        <v>60</v>
      </c>
      <c r="K10">
        <v>0.43340000000000001</v>
      </c>
      <c r="L10">
        <f t="shared" si="1"/>
        <v>0</v>
      </c>
    </row>
    <row r="11" spans="1:12" hidden="1" x14ac:dyDescent="0.2">
      <c r="A11">
        <v>9</v>
      </c>
      <c r="B11" t="s">
        <v>61</v>
      </c>
      <c r="C11" t="s">
        <v>62</v>
      </c>
      <c r="D11" t="s">
        <v>63</v>
      </c>
      <c r="E11" t="s">
        <v>64</v>
      </c>
      <c r="F11" t="s">
        <v>65</v>
      </c>
      <c r="G11" t="s">
        <v>66</v>
      </c>
      <c r="H11">
        <v>0.72629999999999995</v>
      </c>
      <c r="J11" t="s">
        <v>66</v>
      </c>
      <c r="K11">
        <v>0.72629999999999995</v>
      </c>
      <c r="L11">
        <f t="shared" si="1"/>
        <v>0</v>
      </c>
    </row>
    <row r="12" spans="1:12" hidden="1" x14ac:dyDescent="0.2">
      <c r="A12">
        <v>10</v>
      </c>
      <c r="B12" t="s">
        <v>67</v>
      </c>
      <c r="C12" t="s">
        <v>68</v>
      </c>
      <c r="D12" t="s">
        <v>69</v>
      </c>
      <c r="E12" t="s">
        <v>70</v>
      </c>
      <c r="F12" t="s">
        <v>71</v>
      </c>
      <c r="G12" t="s">
        <v>72</v>
      </c>
      <c r="H12">
        <v>0.65090000000000003</v>
      </c>
      <c r="J12" t="s">
        <v>72</v>
      </c>
      <c r="K12">
        <v>0.65090000000000003</v>
      </c>
      <c r="L12">
        <f t="shared" si="1"/>
        <v>0</v>
      </c>
    </row>
    <row r="13" spans="1:12" x14ac:dyDescent="0.2">
      <c r="A13">
        <v>5</v>
      </c>
      <c r="B13" t="s">
        <v>37</v>
      </c>
      <c r="C13" t="s">
        <v>38</v>
      </c>
      <c r="D13" t="s">
        <v>39</v>
      </c>
      <c r="E13" t="s">
        <v>40</v>
      </c>
      <c r="F13" t="s">
        <v>41</v>
      </c>
      <c r="G13" t="s">
        <v>42</v>
      </c>
      <c r="H13">
        <v>0.40939999999999999</v>
      </c>
      <c r="J13" t="s">
        <v>302</v>
      </c>
      <c r="K13">
        <v>0.4592</v>
      </c>
      <c r="L13">
        <f t="shared" si="1"/>
        <v>-4.9800000000000011E-2</v>
      </c>
    </row>
    <row r="14" spans="1:12" hidden="1" x14ac:dyDescent="0.2">
      <c r="A14">
        <v>12</v>
      </c>
      <c r="B14" t="s">
        <v>79</v>
      </c>
      <c r="C14" t="s">
        <v>80</v>
      </c>
      <c r="D14" t="s">
        <v>81</v>
      </c>
      <c r="E14" t="s">
        <v>82</v>
      </c>
      <c r="F14" t="s">
        <v>83</v>
      </c>
      <c r="G14" t="s">
        <v>83</v>
      </c>
      <c r="H14">
        <v>1</v>
      </c>
      <c r="J14" t="s">
        <v>83</v>
      </c>
      <c r="K14">
        <v>1</v>
      </c>
      <c r="L14">
        <f t="shared" si="1"/>
        <v>0</v>
      </c>
    </row>
    <row r="15" spans="1:12" x14ac:dyDescent="0.2">
      <c r="A15">
        <v>33</v>
      </c>
      <c r="B15" t="s">
        <v>200</v>
      </c>
      <c r="C15" t="s">
        <v>201</v>
      </c>
      <c r="D15" t="s">
        <v>202</v>
      </c>
      <c r="E15" t="s">
        <v>203</v>
      </c>
      <c r="F15" t="s">
        <v>204</v>
      </c>
      <c r="G15" t="s">
        <v>205</v>
      </c>
      <c r="H15">
        <v>0.81499999999999995</v>
      </c>
      <c r="J15" t="s">
        <v>312</v>
      </c>
      <c r="K15">
        <v>0.86080000000000001</v>
      </c>
      <c r="L15">
        <f t="shared" si="1"/>
        <v>-4.5800000000000063E-2</v>
      </c>
    </row>
    <row r="16" spans="1:12" hidden="1" x14ac:dyDescent="0.2">
      <c r="A16">
        <v>14</v>
      </c>
      <c r="B16" t="s">
        <v>90</v>
      </c>
      <c r="C16" t="s">
        <v>91</v>
      </c>
      <c r="D16" t="s">
        <v>92</v>
      </c>
      <c r="E16" t="s">
        <v>93</v>
      </c>
      <c r="F16" t="s">
        <v>94</v>
      </c>
      <c r="G16" t="s">
        <v>95</v>
      </c>
      <c r="H16">
        <v>0.9395</v>
      </c>
      <c r="J16" t="s">
        <v>95</v>
      </c>
      <c r="K16">
        <v>0.9395</v>
      </c>
      <c r="L16">
        <f t="shared" si="1"/>
        <v>0</v>
      </c>
    </row>
    <row r="17" spans="1:12" hidden="1" x14ac:dyDescent="0.2">
      <c r="A17">
        <v>15</v>
      </c>
      <c r="B17" t="s">
        <v>96</v>
      </c>
      <c r="C17" t="s">
        <v>97</v>
      </c>
      <c r="D17" t="s">
        <v>98</v>
      </c>
      <c r="E17" t="s">
        <v>99</v>
      </c>
      <c r="F17" t="s">
        <v>100</v>
      </c>
      <c r="G17" t="s">
        <v>100</v>
      </c>
      <c r="H17">
        <v>1</v>
      </c>
      <c r="J17" t="s">
        <v>100</v>
      </c>
      <c r="K17">
        <v>1</v>
      </c>
      <c r="L17">
        <f t="shared" si="1"/>
        <v>0</v>
      </c>
    </row>
    <row r="18" spans="1:12" x14ac:dyDescent="0.2">
      <c r="A18">
        <v>4</v>
      </c>
      <c r="B18" t="s">
        <v>31</v>
      </c>
      <c r="C18" t="s">
        <v>32</v>
      </c>
      <c r="D18" t="s">
        <v>33</v>
      </c>
      <c r="E18" t="s">
        <v>34</v>
      </c>
      <c r="F18" t="s">
        <v>35</v>
      </c>
      <c r="G18" t="s">
        <v>36</v>
      </c>
      <c r="H18">
        <v>0.31879999999999997</v>
      </c>
      <c r="J18" t="s">
        <v>301</v>
      </c>
      <c r="K18">
        <v>0.34739999999999999</v>
      </c>
      <c r="L18">
        <f t="shared" si="1"/>
        <v>-2.8600000000000014E-2</v>
      </c>
    </row>
    <row r="19" spans="1:12" x14ac:dyDescent="0.2">
      <c r="A19">
        <v>7</v>
      </c>
      <c r="B19" t="s">
        <v>49</v>
      </c>
      <c r="C19" t="s">
        <v>50</v>
      </c>
      <c r="D19" t="s">
        <v>51</v>
      </c>
      <c r="E19" t="s">
        <v>52</v>
      </c>
      <c r="F19" t="s">
        <v>53</v>
      </c>
      <c r="G19" t="s">
        <v>54</v>
      </c>
      <c r="H19">
        <v>0.57299999999999995</v>
      </c>
      <c r="J19" t="s">
        <v>303</v>
      </c>
      <c r="K19">
        <v>0.58050000000000002</v>
      </c>
      <c r="L19">
        <f t="shared" si="1"/>
        <v>-7.5000000000000622E-3</v>
      </c>
    </row>
    <row r="20" spans="1:12" hidden="1" x14ac:dyDescent="0.2">
      <c r="A20">
        <v>18</v>
      </c>
      <c r="B20" t="s">
        <v>113</v>
      </c>
      <c r="C20" t="s">
        <v>114</v>
      </c>
      <c r="D20" t="s">
        <v>115</v>
      </c>
      <c r="E20" t="s">
        <v>116</v>
      </c>
      <c r="F20" t="s">
        <v>117</v>
      </c>
      <c r="G20" t="s">
        <v>118</v>
      </c>
      <c r="H20">
        <v>0.70430000000000004</v>
      </c>
      <c r="J20" t="s">
        <v>118</v>
      </c>
      <c r="K20">
        <v>0.70430000000000004</v>
      </c>
      <c r="L20">
        <f t="shared" si="1"/>
        <v>0</v>
      </c>
    </row>
    <row r="21" spans="1:12" hidden="1" x14ac:dyDescent="0.2">
      <c r="A21">
        <v>19</v>
      </c>
      <c r="B21" t="s">
        <v>119</v>
      </c>
      <c r="C21" t="s">
        <v>120</v>
      </c>
      <c r="D21" t="s">
        <v>121</v>
      </c>
      <c r="E21" t="s">
        <v>122</v>
      </c>
      <c r="F21" t="s">
        <v>123</v>
      </c>
      <c r="G21" t="s">
        <v>124</v>
      </c>
      <c r="H21">
        <v>0.52100000000000002</v>
      </c>
      <c r="J21" t="s">
        <v>124</v>
      </c>
      <c r="K21">
        <v>0.52100000000000002</v>
      </c>
      <c r="L21">
        <f t="shared" si="1"/>
        <v>0</v>
      </c>
    </row>
    <row r="22" spans="1:12" hidden="1" x14ac:dyDescent="0.2">
      <c r="A22">
        <v>20</v>
      </c>
      <c r="B22" t="s">
        <v>125</v>
      </c>
      <c r="C22" t="s">
        <v>126</v>
      </c>
      <c r="D22" t="s">
        <v>127</v>
      </c>
      <c r="E22" t="s">
        <v>128</v>
      </c>
      <c r="F22" t="s">
        <v>129</v>
      </c>
      <c r="G22" t="s">
        <v>130</v>
      </c>
      <c r="H22">
        <v>0.69210000000000005</v>
      </c>
      <c r="J22" t="s">
        <v>130</v>
      </c>
      <c r="K22">
        <v>0.69210000000000005</v>
      </c>
      <c r="L22">
        <f t="shared" si="1"/>
        <v>0</v>
      </c>
    </row>
    <row r="23" spans="1:12" hidden="1" x14ac:dyDescent="0.2">
      <c r="A23">
        <v>21</v>
      </c>
      <c r="B23" t="s">
        <v>131</v>
      </c>
      <c r="C23" t="s">
        <v>132</v>
      </c>
      <c r="D23" t="s">
        <v>133</v>
      </c>
      <c r="E23" t="s">
        <v>134</v>
      </c>
      <c r="F23" t="s">
        <v>135</v>
      </c>
      <c r="G23" t="s">
        <v>136</v>
      </c>
      <c r="H23">
        <v>0.50129999999999997</v>
      </c>
      <c r="J23" t="s">
        <v>136</v>
      </c>
      <c r="K23">
        <v>0.50129999999999997</v>
      </c>
      <c r="L23">
        <f t="shared" si="1"/>
        <v>0</v>
      </c>
    </row>
    <row r="24" spans="1:12" x14ac:dyDescent="0.2">
      <c r="A24">
        <v>17</v>
      </c>
      <c r="B24" t="s">
        <v>107</v>
      </c>
      <c r="C24" t="s">
        <v>108</v>
      </c>
      <c r="D24" t="s">
        <v>109</v>
      </c>
      <c r="E24" t="s">
        <v>110</v>
      </c>
      <c r="F24" t="s">
        <v>111</v>
      </c>
      <c r="G24" t="s">
        <v>112</v>
      </c>
      <c r="H24">
        <v>0.76729999999999998</v>
      </c>
      <c r="J24" t="s">
        <v>307</v>
      </c>
      <c r="K24">
        <v>0.77200000000000002</v>
      </c>
      <c r="L24">
        <f t="shared" si="1"/>
        <v>-4.7000000000000375E-3</v>
      </c>
    </row>
    <row r="25" spans="1:12" hidden="1" x14ac:dyDescent="0.2">
      <c r="A25">
        <v>23</v>
      </c>
      <c r="B25" t="s">
        <v>143</v>
      </c>
      <c r="C25" t="s">
        <v>144</v>
      </c>
      <c r="D25" t="s">
        <v>145</v>
      </c>
      <c r="E25" t="s">
        <v>146</v>
      </c>
      <c r="F25" t="s">
        <v>147</v>
      </c>
      <c r="G25" t="s">
        <v>147</v>
      </c>
      <c r="H25">
        <v>1</v>
      </c>
      <c r="J25" t="s">
        <v>147</v>
      </c>
      <c r="K25">
        <v>1</v>
      </c>
      <c r="L25">
        <f t="shared" si="1"/>
        <v>0</v>
      </c>
    </row>
    <row r="26" spans="1:12" x14ac:dyDescent="0.2">
      <c r="A26">
        <v>40</v>
      </c>
      <c r="B26" t="s">
        <v>242</v>
      </c>
      <c r="C26" t="s">
        <v>243</v>
      </c>
      <c r="D26" t="s">
        <v>244</v>
      </c>
      <c r="E26" t="s">
        <v>245</v>
      </c>
      <c r="F26" t="s">
        <v>246</v>
      </c>
      <c r="G26" t="s">
        <v>247</v>
      </c>
      <c r="H26">
        <v>0.72760000000000002</v>
      </c>
      <c r="J26" t="s">
        <v>313</v>
      </c>
      <c r="K26">
        <v>0.6946</v>
      </c>
      <c r="L26">
        <f t="shared" si="1"/>
        <v>3.3000000000000029E-2</v>
      </c>
    </row>
    <row r="27" spans="1:12" x14ac:dyDescent="0.2">
      <c r="A27">
        <v>48</v>
      </c>
      <c r="B27" t="s">
        <v>288</v>
      </c>
      <c r="C27" t="s">
        <v>289</v>
      </c>
      <c r="D27" t="s">
        <v>290</v>
      </c>
      <c r="E27" t="s">
        <v>291</v>
      </c>
      <c r="F27" t="s">
        <v>292</v>
      </c>
      <c r="G27" t="s">
        <v>293</v>
      </c>
      <c r="H27">
        <v>0.60829999999999995</v>
      </c>
      <c r="J27" t="s">
        <v>317</v>
      </c>
      <c r="K27">
        <v>0.56779999999999997</v>
      </c>
      <c r="L27">
        <f t="shared" si="1"/>
        <v>4.049999999999998E-2</v>
      </c>
    </row>
    <row r="28" spans="1:12" hidden="1" x14ac:dyDescent="0.2">
      <c r="A28">
        <v>26</v>
      </c>
      <c r="B28" t="s">
        <v>159</v>
      </c>
      <c r="C28" t="s">
        <v>160</v>
      </c>
      <c r="D28" t="s">
        <v>161</v>
      </c>
      <c r="E28" t="s">
        <v>162</v>
      </c>
      <c r="F28" t="s">
        <v>163</v>
      </c>
      <c r="G28" t="s">
        <v>164</v>
      </c>
      <c r="H28">
        <v>0.22869999999999999</v>
      </c>
      <c r="J28" t="s">
        <v>164</v>
      </c>
      <c r="K28">
        <v>0.22869999999999999</v>
      </c>
      <c r="L28">
        <f t="shared" si="1"/>
        <v>0</v>
      </c>
    </row>
    <row r="29" spans="1:12" hidden="1" x14ac:dyDescent="0.2">
      <c r="A29">
        <v>27</v>
      </c>
      <c r="B29" t="s">
        <v>165</v>
      </c>
      <c r="C29" t="s">
        <v>166</v>
      </c>
      <c r="D29" t="s">
        <v>167</v>
      </c>
      <c r="E29" t="s">
        <v>168</v>
      </c>
      <c r="F29" t="s">
        <v>169</v>
      </c>
      <c r="G29" t="s">
        <v>170</v>
      </c>
      <c r="H29">
        <v>0.73860000000000003</v>
      </c>
      <c r="J29" t="s">
        <v>170</v>
      </c>
      <c r="K29">
        <v>0.73860000000000003</v>
      </c>
      <c r="L29">
        <f t="shared" si="1"/>
        <v>0</v>
      </c>
    </row>
    <row r="30" spans="1:12" hidden="1" x14ac:dyDescent="0.2">
      <c r="A30">
        <v>28</v>
      </c>
      <c r="B30" t="s">
        <v>171</v>
      </c>
      <c r="C30" t="s">
        <v>172</v>
      </c>
      <c r="D30" t="s">
        <v>173</v>
      </c>
      <c r="E30" t="s">
        <v>174</v>
      </c>
      <c r="F30" t="s">
        <v>175</v>
      </c>
      <c r="G30" t="s">
        <v>176</v>
      </c>
      <c r="H30">
        <v>0.84950000000000003</v>
      </c>
      <c r="J30" t="s">
        <v>176</v>
      </c>
      <c r="K30">
        <v>0.84950000000000003</v>
      </c>
      <c r="L30">
        <f t="shared" si="1"/>
        <v>0</v>
      </c>
    </row>
    <row r="31" spans="1:12" x14ac:dyDescent="0.2">
      <c r="A31">
        <v>24</v>
      </c>
      <c r="B31" t="s">
        <v>148</v>
      </c>
      <c r="C31" t="s">
        <v>149</v>
      </c>
      <c r="D31" t="s">
        <v>150</v>
      </c>
      <c r="E31" t="s">
        <v>151</v>
      </c>
      <c r="F31" t="s">
        <v>152</v>
      </c>
      <c r="G31" t="s">
        <v>153</v>
      </c>
      <c r="H31">
        <v>0.71099999999999997</v>
      </c>
      <c r="J31" t="s">
        <v>309</v>
      </c>
      <c r="K31">
        <v>0.63880000000000003</v>
      </c>
      <c r="L31">
        <f t="shared" si="1"/>
        <v>7.2199999999999931E-2</v>
      </c>
    </row>
    <row r="32" spans="1:12" hidden="1" x14ac:dyDescent="0.2">
      <c r="A32">
        <v>30</v>
      </c>
      <c r="B32" t="s">
        <v>183</v>
      </c>
      <c r="C32" t="s">
        <v>184</v>
      </c>
      <c r="D32" t="s">
        <v>185</v>
      </c>
      <c r="E32" t="s">
        <v>186</v>
      </c>
      <c r="F32" t="s">
        <v>187</v>
      </c>
      <c r="G32" t="s">
        <v>188</v>
      </c>
      <c r="H32">
        <v>0.54559999999999997</v>
      </c>
      <c r="J32" t="s">
        <v>188</v>
      </c>
      <c r="K32">
        <v>0.54559999999999997</v>
      </c>
      <c r="L32">
        <f t="shared" si="1"/>
        <v>0</v>
      </c>
    </row>
    <row r="33" spans="1:12" hidden="1" x14ac:dyDescent="0.2">
      <c r="A33">
        <v>31</v>
      </c>
      <c r="B33" t="s">
        <v>189</v>
      </c>
      <c r="C33" t="s">
        <v>190</v>
      </c>
      <c r="D33" t="s">
        <v>191</v>
      </c>
      <c r="E33" t="s">
        <v>192</v>
      </c>
      <c r="F33" t="s">
        <v>193</v>
      </c>
      <c r="G33" t="s">
        <v>193</v>
      </c>
      <c r="H33">
        <v>1</v>
      </c>
      <c r="J33" t="s">
        <v>193</v>
      </c>
      <c r="K33">
        <v>1</v>
      </c>
      <c r="L33">
        <f t="shared" si="1"/>
        <v>0</v>
      </c>
    </row>
    <row r="34" spans="1:12" hidden="1" x14ac:dyDescent="0.2">
      <c r="A34">
        <v>32</v>
      </c>
      <c r="B34" t="s">
        <v>194</v>
      </c>
      <c r="C34" t="s">
        <v>195</v>
      </c>
      <c r="D34" t="s">
        <v>196</v>
      </c>
      <c r="E34" t="s">
        <v>197</v>
      </c>
      <c r="F34" t="s">
        <v>198</v>
      </c>
      <c r="G34" t="s">
        <v>199</v>
      </c>
      <c r="H34">
        <v>0.87560000000000004</v>
      </c>
      <c r="J34" t="s">
        <v>199</v>
      </c>
      <c r="K34">
        <v>0.87560000000000004</v>
      </c>
      <c r="L34">
        <f t="shared" si="1"/>
        <v>0</v>
      </c>
    </row>
    <row r="35" spans="1:12" x14ac:dyDescent="0.2">
      <c r="A35">
        <v>11</v>
      </c>
      <c r="B35" t="s">
        <v>73</v>
      </c>
      <c r="C35" t="s">
        <v>74</v>
      </c>
      <c r="D35" t="s">
        <v>75</v>
      </c>
      <c r="E35" t="s">
        <v>76</v>
      </c>
      <c r="F35" t="s">
        <v>77</v>
      </c>
      <c r="G35" t="s">
        <v>78</v>
      </c>
      <c r="H35">
        <v>0.52900000000000003</v>
      </c>
      <c r="J35" t="s">
        <v>304</v>
      </c>
      <c r="K35">
        <v>0.35360000000000003</v>
      </c>
      <c r="L35">
        <f t="shared" si="1"/>
        <v>0.1754</v>
      </c>
    </row>
    <row r="36" spans="1:12" hidden="1" x14ac:dyDescent="0.2">
      <c r="A36">
        <v>34</v>
      </c>
      <c r="B36" t="s">
        <v>206</v>
      </c>
      <c r="C36" t="s">
        <v>207</v>
      </c>
      <c r="D36" t="s">
        <v>208</v>
      </c>
      <c r="E36" t="s">
        <v>209</v>
      </c>
      <c r="F36" t="s">
        <v>210</v>
      </c>
      <c r="G36" t="s">
        <v>211</v>
      </c>
      <c r="H36">
        <v>0.38990000000000002</v>
      </c>
      <c r="J36" t="s">
        <v>211</v>
      </c>
      <c r="K36">
        <v>0.38990000000000002</v>
      </c>
      <c r="L36">
        <f t="shared" si="1"/>
        <v>0</v>
      </c>
    </row>
    <row r="37" spans="1:12" hidden="1" x14ac:dyDescent="0.2">
      <c r="A37">
        <v>35</v>
      </c>
      <c r="B37" t="s">
        <v>212</v>
      </c>
      <c r="C37" t="s">
        <v>213</v>
      </c>
      <c r="D37" t="s">
        <v>214</v>
      </c>
      <c r="E37" t="s">
        <v>215</v>
      </c>
      <c r="F37" t="s">
        <v>216</v>
      </c>
      <c r="G37" t="s">
        <v>217</v>
      </c>
      <c r="H37">
        <v>0.7984</v>
      </c>
      <c r="J37" t="s">
        <v>217</v>
      </c>
      <c r="K37">
        <v>0.7984</v>
      </c>
      <c r="L37">
        <f t="shared" si="1"/>
        <v>0</v>
      </c>
    </row>
    <row r="38" spans="1:12" hidden="1" x14ac:dyDescent="0.2">
      <c r="A38">
        <v>36</v>
      </c>
      <c r="B38" t="s">
        <v>218</v>
      </c>
      <c r="C38" t="s">
        <v>219</v>
      </c>
      <c r="D38" t="s">
        <v>220</v>
      </c>
      <c r="E38" t="s">
        <v>221</v>
      </c>
      <c r="F38" t="s">
        <v>222</v>
      </c>
      <c r="G38" t="s">
        <v>223</v>
      </c>
      <c r="H38">
        <v>0.45219999999999999</v>
      </c>
      <c r="J38" t="s">
        <v>223</v>
      </c>
      <c r="K38">
        <v>0.45219999999999999</v>
      </c>
      <c r="L38">
        <f t="shared" si="1"/>
        <v>0</v>
      </c>
    </row>
    <row r="39" spans="1:12" hidden="1" x14ac:dyDescent="0.2">
      <c r="A39">
        <v>37</v>
      </c>
      <c r="B39" t="s">
        <v>224</v>
      </c>
      <c r="C39" t="s">
        <v>225</v>
      </c>
      <c r="D39" t="s">
        <v>226</v>
      </c>
      <c r="E39" t="s">
        <v>227</v>
      </c>
      <c r="F39" t="s">
        <v>228</v>
      </c>
      <c r="G39" t="s">
        <v>229</v>
      </c>
      <c r="H39">
        <v>0.75580000000000003</v>
      </c>
      <c r="J39" t="s">
        <v>229</v>
      </c>
      <c r="K39">
        <v>0.75580000000000003</v>
      </c>
      <c r="L39">
        <f t="shared" si="1"/>
        <v>0</v>
      </c>
    </row>
    <row r="40" spans="1:12" hidden="1" x14ac:dyDescent="0.2">
      <c r="A40">
        <v>38</v>
      </c>
      <c r="B40" t="s">
        <v>230</v>
      </c>
      <c r="C40" t="s">
        <v>231</v>
      </c>
      <c r="D40" t="s">
        <v>232</v>
      </c>
      <c r="E40" t="s">
        <v>233</v>
      </c>
      <c r="F40" t="s">
        <v>234</v>
      </c>
      <c r="G40" t="s">
        <v>235</v>
      </c>
      <c r="H40">
        <v>0.23769999999999999</v>
      </c>
      <c r="J40" t="s">
        <v>235</v>
      </c>
      <c r="K40">
        <v>0.23769999999999999</v>
      </c>
      <c r="L40">
        <f t="shared" si="1"/>
        <v>0</v>
      </c>
    </row>
    <row r="41" spans="1:12" hidden="1" x14ac:dyDescent="0.2">
      <c r="A41">
        <v>39</v>
      </c>
      <c r="B41" t="s">
        <v>236</v>
      </c>
      <c r="C41" t="s">
        <v>237</v>
      </c>
      <c r="D41" t="s">
        <v>238</v>
      </c>
      <c r="E41" t="s">
        <v>239</v>
      </c>
      <c r="F41" t="s">
        <v>240</v>
      </c>
      <c r="G41" t="s">
        <v>241</v>
      </c>
      <c r="H41">
        <v>0.50670000000000004</v>
      </c>
      <c r="J41" t="s">
        <v>241</v>
      </c>
      <c r="K41">
        <v>0.50670000000000004</v>
      </c>
      <c r="L41">
        <f t="shared" si="1"/>
        <v>0</v>
      </c>
    </row>
    <row r="42" spans="1:12" x14ac:dyDescent="0.2">
      <c r="A42">
        <v>25</v>
      </c>
      <c r="B42" t="s">
        <v>154</v>
      </c>
      <c r="C42" t="s">
        <v>155</v>
      </c>
      <c r="D42" t="s">
        <v>156</v>
      </c>
      <c r="E42" t="s">
        <v>157</v>
      </c>
      <c r="F42" t="s">
        <v>158</v>
      </c>
      <c r="G42" t="s">
        <v>158</v>
      </c>
      <c r="H42">
        <v>1</v>
      </c>
      <c r="J42" t="s">
        <v>310</v>
      </c>
      <c r="K42">
        <v>0.69359999999999999</v>
      </c>
      <c r="L42">
        <f t="shared" si="1"/>
        <v>0.30640000000000001</v>
      </c>
    </row>
    <row r="43" spans="1:12" hidden="1" x14ac:dyDescent="0.2">
      <c r="A43">
        <v>41</v>
      </c>
      <c r="B43" t="s">
        <v>248</v>
      </c>
      <c r="C43" t="s">
        <v>249</v>
      </c>
      <c r="D43" t="s">
        <v>250</v>
      </c>
      <c r="E43" t="s">
        <v>251</v>
      </c>
      <c r="F43" t="s">
        <v>252</v>
      </c>
      <c r="G43" t="s">
        <v>252</v>
      </c>
      <c r="H43">
        <v>1</v>
      </c>
      <c r="J43" t="s">
        <v>252</v>
      </c>
      <c r="K43">
        <v>1</v>
      </c>
      <c r="L43">
        <f t="shared" si="1"/>
        <v>0</v>
      </c>
    </row>
    <row r="44" spans="1:12" hidden="1" x14ac:dyDescent="0.2">
      <c r="A44">
        <v>42</v>
      </c>
      <c r="B44" t="s">
        <v>253</v>
      </c>
      <c r="C44" t="s">
        <v>254</v>
      </c>
      <c r="D44" t="s">
        <v>255</v>
      </c>
      <c r="E44" t="s">
        <v>256</v>
      </c>
      <c r="F44" t="s">
        <v>257</v>
      </c>
      <c r="G44" t="s">
        <v>258</v>
      </c>
      <c r="H44">
        <v>0.77500000000000002</v>
      </c>
      <c r="J44" t="s">
        <v>258</v>
      </c>
      <c r="K44">
        <v>0.77500000000000002</v>
      </c>
      <c r="L44">
        <f t="shared" si="1"/>
        <v>0</v>
      </c>
    </row>
    <row r="45" spans="1:12" x14ac:dyDescent="0.2">
      <c r="A45">
        <v>13</v>
      </c>
      <c r="B45" t="s">
        <v>84</v>
      </c>
      <c r="C45" t="s">
        <v>85</v>
      </c>
      <c r="D45" t="s">
        <v>86</v>
      </c>
      <c r="E45" t="s">
        <v>87</v>
      </c>
      <c r="F45" t="s">
        <v>88</v>
      </c>
      <c r="G45" t="s">
        <v>89</v>
      </c>
      <c r="H45">
        <v>0.91369999999999996</v>
      </c>
      <c r="J45" t="s">
        <v>305</v>
      </c>
      <c r="K45">
        <v>0.56120000000000003</v>
      </c>
      <c r="L45">
        <f t="shared" si="1"/>
        <v>0.35249999999999992</v>
      </c>
    </row>
    <row r="46" spans="1:12" x14ac:dyDescent="0.2">
      <c r="A46">
        <v>43</v>
      </c>
      <c r="B46" t="s">
        <v>259</v>
      </c>
      <c r="C46" t="s">
        <v>260</v>
      </c>
      <c r="D46" t="s">
        <v>261</v>
      </c>
      <c r="E46" t="s">
        <v>262</v>
      </c>
      <c r="F46" t="s">
        <v>263</v>
      </c>
      <c r="G46" t="s">
        <v>264</v>
      </c>
      <c r="H46">
        <v>0.96740000000000004</v>
      </c>
      <c r="J46" t="s">
        <v>314</v>
      </c>
      <c r="K46">
        <v>0.60060000000000002</v>
      </c>
      <c r="L46">
        <f t="shared" si="1"/>
        <v>0.36680000000000001</v>
      </c>
    </row>
    <row r="47" spans="1:12" hidden="1" x14ac:dyDescent="0.2">
      <c r="A47">
        <v>45</v>
      </c>
      <c r="B47" t="s">
        <v>271</v>
      </c>
      <c r="C47" t="s">
        <v>272</v>
      </c>
      <c r="D47" t="s">
        <v>273</v>
      </c>
      <c r="E47" t="s">
        <v>274</v>
      </c>
      <c r="F47" t="s">
        <v>275</v>
      </c>
      <c r="G47" t="s">
        <v>276</v>
      </c>
      <c r="H47">
        <v>0.88</v>
      </c>
      <c r="J47" t="s">
        <v>276</v>
      </c>
      <c r="K47">
        <v>0.88</v>
      </c>
      <c r="L47">
        <f t="shared" si="1"/>
        <v>0</v>
      </c>
    </row>
    <row r="48" spans="1:12" hidden="1" x14ac:dyDescent="0.2">
      <c r="A48">
        <v>46</v>
      </c>
      <c r="B48" t="s">
        <v>277</v>
      </c>
      <c r="C48" t="s">
        <v>278</v>
      </c>
      <c r="D48" t="s">
        <v>279</v>
      </c>
      <c r="E48" t="s">
        <v>280</v>
      </c>
      <c r="F48" t="s">
        <v>281</v>
      </c>
      <c r="G48" t="s">
        <v>282</v>
      </c>
      <c r="H48">
        <v>0.66510000000000002</v>
      </c>
      <c r="J48" t="s">
        <v>282</v>
      </c>
      <c r="K48">
        <v>0.66510000000000002</v>
      </c>
      <c r="L48">
        <f t="shared" si="1"/>
        <v>0</v>
      </c>
    </row>
    <row r="49" spans="1:12" x14ac:dyDescent="0.2">
      <c r="A49">
        <v>16</v>
      </c>
      <c r="B49" t="s">
        <v>101</v>
      </c>
      <c r="C49" t="s">
        <v>102</v>
      </c>
      <c r="D49" t="s">
        <v>103</v>
      </c>
      <c r="E49" t="s">
        <v>104</v>
      </c>
      <c r="F49" t="s">
        <v>105</v>
      </c>
      <c r="G49" t="s">
        <v>106</v>
      </c>
      <c r="H49">
        <v>0.83440000000000003</v>
      </c>
      <c r="J49" t="s">
        <v>306</v>
      </c>
      <c r="K49">
        <v>0.2596</v>
      </c>
      <c r="L49">
        <f t="shared" si="1"/>
        <v>0.57479999999999998</v>
      </c>
    </row>
    <row r="50" spans="1:12" x14ac:dyDescent="0.2">
      <c r="A50">
        <v>47</v>
      </c>
      <c r="B50" t="s">
        <v>283</v>
      </c>
      <c r="C50" t="s">
        <v>284</v>
      </c>
      <c r="D50" t="s">
        <v>285</v>
      </c>
      <c r="E50" t="s">
        <v>286</v>
      </c>
      <c r="F50" t="s">
        <v>287</v>
      </c>
      <c r="G50" t="s">
        <v>287</v>
      </c>
      <c r="H50">
        <v>1</v>
      </c>
      <c r="J50" t="s">
        <v>316</v>
      </c>
      <c r="K50">
        <v>0.2772</v>
      </c>
      <c r="L50">
        <f t="shared" si="1"/>
        <v>0.7228</v>
      </c>
    </row>
    <row r="51" spans="1:12" hidden="1" x14ac:dyDescent="0.2">
      <c r="A51">
        <v>49</v>
      </c>
      <c r="B51" t="s">
        <v>294</v>
      </c>
      <c r="C51" t="s">
        <v>295</v>
      </c>
      <c r="D51" t="s">
        <v>296</v>
      </c>
      <c r="E51" t="s">
        <v>297</v>
      </c>
      <c r="F51" t="s">
        <v>298</v>
      </c>
      <c r="G51" t="s">
        <v>298</v>
      </c>
      <c r="H51">
        <v>0.99980000000000002</v>
      </c>
      <c r="J51" t="s">
        <v>298</v>
      </c>
      <c r="K51">
        <v>0.99980000000000002</v>
      </c>
      <c r="L51">
        <f t="shared" si="1"/>
        <v>0</v>
      </c>
    </row>
  </sheetData>
  <autoFilter ref="A1:L52" xr:uid="{00000000-0001-0000-0000-000000000000}">
    <filterColumn colId="11">
      <customFilters>
        <customFilter operator="notEqual" val="0"/>
      </customFilters>
    </filterColumn>
    <sortState xmlns:xlrd2="http://schemas.microsoft.com/office/spreadsheetml/2017/richdata2" ref="A6:L52">
      <sortCondition ref="L1:L52"/>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68507-BC44-44FA-BBBE-68831BBA3309}">
  <dimension ref="A1:L51"/>
  <sheetViews>
    <sheetView tabSelected="1" topLeftCell="A48" zoomScaleNormal="100" workbookViewId="0">
      <pane xSplit="1" topLeftCell="B1" activePane="topRight" state="frozen"/>
      <selection pane="topRight" activeCell="E49" sqref="E49"/>
    </sheetView>
  </sheetViews>
  <sheetFormatPr defaultRowHeight="14.25" x14ac:dyDescent="0.2"/>
  <cols>
    <col min="4" max="4" width="53" customWidth="1"/>
    <col min="5" max="5" width="49" customWidth="1"/>
  </cols>
  <sheetData>
    <row r="1" spans="1:12" ht="15" x14ac:dyDescent="0.2">
      <c r="A1" s="1" t="s">
        <v>0</v>
      </c>
      <c r="B1" s="1" t="s">
        <v>1</v>
      </c>
      <c r="C1" s="1" t="s">
        <v>2</v>
      </c>
      <c r="D1" s="1" t="s">
        <v>3</v>
      </c>
      <c r="E1" s="1" t="s">
        <v>4</v>
      </c>
      <c r="F1" s="1" t="s">
        <v>5</v>
      </c>
      <c r="G1" s="1" t="s">
        <v>6</v>
      </c>
      <c r="H1" s="1" t="s">
        <v>7</v>
      </c>
      <c r="J1" t="s">
        <v>299</v>
      </c>
      <c r="K1" t="s">
        <v>300</v>
      </c>
      <c r="L1" t="s">
        <v>318</v>
      </c>
    </row>
    <row r="2" spans="1:12" x14ac:dyDescent="0.2">
      <c r="A2">
        <v>0</v>
      </c>
      <c r="B2" t="s">
        <v>8</v>
      </c>
      <c r="C2" t="s">
        <v>9</v>
      </c>
      <c r="D2" t="s">
        <v>10</v>
      </c>
      <c r="E2" t="s">
        <v>11</v>
      </c>
      <c r="F2" t="s">
        <v>12</v>
      </c>
      <c r="G2" t="s">
        <v>12</v>
      </c>
      <c r="H2">
        <v>1</v>
      </c>
      <c r="J2" t="s">
        <v>12</v>
      </c>
      <c r="K2">
        <v>1</v>
      </c>
      <c r="L2">
        <f t="shared" ref="L2:L33" si="0">H2-K2</f>
        <v>0</v>
      </c>
    </row>
    <row r="3" spans="1:12" x14ac:dyDescent="0.2">
      <c r="A3">
        <v>1</v>
      </c>
      <c r="B3" t="s">
        <v>13</v>
      </c>
      <c r="C3" t="s">
        <v>14</v>
      </c>
      <c r="D3" t="s">
        <v>15</v>
      </c>
      <c r="E3" t="s">
        <v>16</v>
      </c>
      <c r="F3" t="s">
        <v>17</v>
      </c>
      <c r="G3" t="s">
        <v>18</v>
      </c>
      <c r="H3">
        <v>0.65280000000000005</v>
      </c>
      <c r="J3" t="s">
        <v>18</v>
      </c>
      <c r="K3">
        <v>0.65280000000000005</v>
      </c>
      <c r="L3">
        <f t="shared" si="0"/>
        <v>0</v>
      </c>
    </row>
    <row r="4" spans="1:12" x14ac:dyDescent="0.2">
      <c r="A4">
        <v>2</v>
      </c>
      <c r="B4" t="s">
        <v>19</v>
      </c>
      <c r="C4" t="s">
        <v>20</v>
      </c>
      <c r="D4" t="s">
        <v>21</v>
      </c>
      <c r="E4" t="s">
        <v>22</v>
      </c>
      <c r="F4" t="s">
        <v>23</v>
      </c>
      <c r="G4" t="s">
        <v>24</v>
      </c>
      <c r="H4">
        <v>0.66349999999999998</v>
      </c>
      <c r="J4" t="s">
        <v>24</v>
      </c>
      <c r="K4">
        <v>0.66349999999999998</v>
      </c>
      <c r="L4">
        <f t="shared" si="0"/>
        <v>0</v>
      </c>
    </row>
    <row r="5" spans="1:12" x14ac:dyDescent="0.2">
      <c r="A5">
        <v>3</v>
      </c>
      <c r="B5" t="s">
        <v>25</v>
      </c>
      <c r="C5" t="s">
        <v>26</v>
      </c>
      <c r="D5" t="s">
        <v>27</v>
      </c>
      <c r="E5" t="s">
        <v>28</v>
      </c>
      <c r="F5" t="s">
        <v>29</v>
      </c>
      <c r="G5" t="s">
        <v>30</v>
      </c>
      <c r="H5">
        <v>0.92369999999999997</v>
      </c>
      <c r="J5" t="s">
        <v>30</v>
      </c>
      <c r="K5">
        <v>0.92369999999999997</v>
      </c>
      <c r="L5">
        <f t="shared" si="0"/>
        <v>0</v>
      </c>
    </row>
    <row r="6" spans="1:12" s="2" customFormat="1" x14ac:dyDescent="0.2">
      <c r="A6">
        <v>4</v>
      </c>
      <c r="B6" t="s">
        <v>31</v>
      </c>
      <c r="C6" t="s">
        <v>32</v>
      </c>
      <c r="D6" t="s">
        <v>33</v>
      </c>
      <c r="E6" t="s">
        <v>34</v>
      </c>
      <c r="F6" t="s">
        <v>35</v>
      </c>
      <c r="G6" t="s">
        <v>36</v>
      </c>
      <c r="H6">
        <v>0.31879999999999997</v>
      </c>
      <c r="I6"/>
      <c r="J6" t="s">
        <v>301</v>
      </c>
      <c r="K6">
        <v>0.34739999999999999</v>
      </c>
      <c r="L6">
        <f t="shared" si="0"/>
        <v>-2.8600000000000014E-2</v>
      </c>
    </row>
    <row r="7" spans="1:12" s="5" customFormat="1" ht="371.25" x14ac:dyDescent="0.25">
      <c r="A7" s="5">
        <v>5</v>
      </c>
      <c r="B7" s="5" t="s">
        <v>37</v>
      </c>
      <c r="C7" s="5" t="s">
        <v>38</v>
      </c>
      <c r="D7" s="6" t="s">
        <v>39</v>
      </c>
      <c r="E7" s="6" t="s">
        <v>320</v>
      </c>
      <c r="F7" s="5" t="s">
        <v>41</v>
      </c>
      <c r="G7" s="7" t="s">
        <v>42</v>
      </c>
      <c r="H7" s="5">
        <v>0.40939999999999999</v>
      </c>
      <c r="J7" s="5" t="s">
        <v>302</v>
      </c>
      <c r="K7" s="5">
        <v>0.4592</v>
      </c>
      <c r="L7" s="5">
        <f t="shared" si="0"/>
        <v>-4.9800000000000011E-2</v>
      </c>
    </row>
    <row r="8" spans="1:12" x14ac:dyDescent="0.2">
      <c r="A8">
        <v>6</v>
      </c>
      <c r="B8" t="s">
        <v>43</v>
      </c>
      <c r="C8" t="s">
        <v>44</v>
      </c>
      <c r="D8" t="s">
        <v>45</v>
      </c>
      <c r="E8" t="s">
        <v>46</v>
      </c>
      <c r="F8" t="s">
        <v>47</v>
      </c>
      <c r="G8" t="s">
        <v>48</v>
      </c>
      <c r="H8">
        <v>0.94279999999999997</v>
      </c>
      <c r="J8" t="s">
        <v>48</v>
      </c>
      <c r="K8">
        <v>0.94279999999999997</v>
      </c>
      <c r="L8">
        <f t="shared" si="0"/>
        <v>0</v>
      </c>
    </row>
    <row r="9" spans="1:12" x14ac:dyDescent="0.2">
      <c r="A9">
        <v>7</v>
      </c>
      <c r="B9" t="s">
        <v>49</v>
      </c>
      <c r="C9" t="s">
        <v>50</v>
      </c>
      <c r="D9" t="s">
        <v>51</v>
      </c>
      <c r="E9" t="s">
        <v>52</v>
      </c>
      <c r="F9" t="s">
        <v>53</v>
      </c>
      <c r="G9" t="s">
        <v>54</v>
      </c>
      <c r="H9">
        <v>0.57299999999999995</v>
      </c>
      <c r="J9" t="s">
        <v>303</v>
      </c>
      <c r="K9">
        <v>0.58050000000000002</v>
      </c>
      <c r="L9">
        <f t="shared" si="0"/>
        <v>-7.5000000000000622E-3</v>
      </c>
    </row>
    <row r="10" spans="1:12" x14ac:dyDescent="0.2">
      <c r="A10">
        <v>8</v>
      </c>
      <c r="B10" t="s">
        <v>55</v>
      </c>
      <c r="C10" t="s">
        <v>56</v>
      </c>
      <c r="D10" t="s">
        <v>57</v>
      </c>
      <c r="E10" t="s">
        <v>58</v>
      </c>
      <c r="F10" t="s">
        <v>59</v>
      </c>
      <c r="G10" t="s">
        <v>60</v>
      </c>
      <c r="H10">
        <v>0.43340000000000001</v>
      </c>
      <c r="J10" t="s">
        <v>60</v>
      </c>
      <c r="K10">
        <v>0.43340000000000001</v>
      </c>
      <c r="L10">
        <f t="shared" si="0"/>
        <v>0</v>
      </c>
    </row>
    <row r="11" spans="1:12" x14ac:dyDescent="0.2">
      <c r="A11">
        <v>9</v>
      </c>
      <c r="B11" t="s">
        <v>61</v>
      </c>
      <c r="C11" t="s">
        <v>62</v>
      </c>
      <c r="D11" t="s">
        <v>63</v>
      </c>
      <c r="E11" t="s">
        <v>64</v>
      </c>
      <c r="F11" t="s">
        <v>65</v>
      </c>
      <c r="G11" t="s">
        <v>66</v>
      </c>
      <c r="H11">
        <v>0.72629999999999995</v>
      </c>
      <c r="J11" t="s">
        <v>66</v>
      </c>
      <c r="K11">
        <v>0.72629999999999995</v>
      </c>
      <c r="L11">
        <f t="shared" si="0"/>
        <v>0</v>
      </c>
    </row>
    <row r="12" spans="1:12" x14ac:dyDescent="0.2">
      <c r="A12">
        <v>10</v>
      </c>
      <c r="B12" t="s">
        <v>67</v>
      </c>
      <c r="C12" t="s">
        <v>68</v>
      </c>
      <c r="D12" t="s">
        <v>69</v>
      </c>
      <c r="E12" t="s">
        <v>70</v>
      </c>
      <c r="F12" t="s">
        <v>71</v>
      </c>
      <c r="G12" t="s">
        <v>72</v>
      </c>
      <c r="H12">
        <v>0.65090000000000003</v>
      </c>
      <c r="J12" t="s">
        <v>72</v>
      </c>
      <c r="K12">
        <v>0.65090000000000003</v>
      </c>
      <c r="L12">
        <f t="shared" si="0"/>
        <v>0</v>
      </c>
    </row>
    <row r="13" spans="1:12" ht="285" x14ac:dyDescent="0.2">
      <c r="A13">
        <v>11</v>
      </c>
      <c r="B13" t="s">
        <v>73</v>
      </c>
      <c r="C13" t="s">
        <v>74</v>
      </c>
      <c r="D13" s="4" t="s">
        <v>75</v>
      </c>
      <c r="E13" s="4" t="s">
        <v>76</v>
      </c>
      <c r="F13" t="s">
        <v>77</v>
      </c>
      <c r="G13" t="s">
        <v>78</v>
      </c>
      <c r="H13">
        <v>0.52900000000000003</v>
      </c>
      <c r="J13" t="s">
        <v>304</v>
      </c>
      <c r="K13">
        <v>0.35360000000000003</v>
      </c>
      <c r="L13">
        <f t="shared" si="0"/>
        <v>0.1754</v>
      </c>
    </row>
    <row r="14" spans="1:12" x14ac:dyDescent="0.2">
      <c r="A14">
        <v>12</v>
      </c>
      <c r="B14" t="s">
        <v>79</v>
      </c>
      <c r="C14" t="s">
        <v>80</v>
      </c>
      <c r="D14" t="s">
        <v>81</v>
      </c>
      <c r="E14" t="s">
        <v>82</v>
      </c>
      <c r="F14" t="s">
        <v>83</v>
      </c>
      <c r="G14" t="s">
        <v>83</v>
      </c>
      <c r="H14">
        <v>1</v>
      </c>
      <c r="J14" t="s">
        <v>83</v>
      </c>
      <c r="K14">
        <v>1</v>
      </c>
      <c r="L14">
        <f t="shared" si="0"/>
        <v>0</v>
      </c>
    </row>
    <row r="15" spans="1:12" x14ac:dyDescent="0.2">
      <c r="A15">
        <v>13</v>
      </c>
      <c r="B15" t="s">
        <v>84</v>
      </c>
      <c r="C15" t="s">
        <v>85</v>
      </c>
      <c r="D15" t="s">
        <v>86</v>
      </c>
      <c r="E15" t="s">
        <v>87</v>
      </c>
      <c r="F15" t="s">
        <v>88</v>
      </c>
      <c r="G15" t="s">
        <v>89</v>
      </c>
      <c r="H15">
        <v>0.91369999999999996</v>
      </c>
      <c r="J15" t="s">
        <v>305</v>
      </c>
      <c r="K15">
        <v>0.56120000000000003</v>
      </c>
      <c r="L15">
        <f t="shared" si="0"/>
        <v>0.35249999999999992</v>
      </c>
    </row>
    <row r="16" spans="1:12" x14ac:dyDescent="0.2">
      <c r="A16">
        <v>14</v>
      </c>
      <c r="B16" t="s">
        <v>90</v>
      </c>
      <c r="C16" t="s">
        <v>91</v>
      </c>
      <c r="D16" t="s">
        <v>92</v>
      </c>
      <c r="E16" t="s">
        <v>93</v>
      </c>
      <c r="F16" t="s">
        <v>94</v>
      </c>
      <c r="G16" t="s">
        <v>95</v>
      </c>
      <c r="H16">
        <v>0.9395</v>
      </c>
      <c r="J16" t="s">
        <v>95</v>
      </c>
      <c r="K16">
        <v>0.9395</v>
      </c>
      <c r="L16">
        <f t="shared" si="0"/>
        <v>0</v>
      </c>
    </row>
    <row r="17" spans="1:12" x14ac:dyDescent="0.2">
      <c r="A17">
        <v>15</v>
      </c>
      <c r="B17" t="s">
        <v>96</v>
      </c>
      <c r="C17" t="s">
        <v>97</v>
      </c>
      <c r="D17" t="s">
        <v>98</v>
      </c>
      <c r="E17" t="s">
        <v>99</v>
      </c>
      <c r="F17" t="s">
        <v>100</v>
      </c>
      <c r="G17" t="s">
        <v>100</v>
      </c>
      <c r="H17">
        <v>1</v>
      </c>
      <c r="J17" t="s">
        <v>100</v>
      </c>
      <c r="K17">
        <v>1</v>
      </c>
      <c r="L17">
        <f t="shared" si="0"/>
        <v>0</v>
      </c>
    </row>
    <row r="18" spans="1:12" ht="371.25" x14ac:dyDescent="0.25">
      <c r="A18">
        <v>16</v>
      </c>
      <c r="B18" t="s">
        <v>101</v>
      </c>
      <c r="C18" t="s">
        <v>102</v>
      </c>
      <c r="D18" s="4" t="s">
        <v>103</v>
      </c>
      <c r="E18" s="4" t="s">
        <v>321</v>
      </c>
      <c r="F18" t="s">
        <v>105</v>
      </c>
      <c r="G18" t="s">
        <v>322</v>
      </c>
      <c r="H18">
        <v>0.83440000000000003</v>
      </c>
      <c r="J18" t="s">
        <v>306</v>
      </c>
      <c r="K18">
        <v>0.2596</v>
      </c>
      <c r="L18">
        <f t="shared" si="0"/>
        <v>0.57479999999999998</v>
      </c>
    </row>
    <row r="19" spans="1:12" x14ac:dyDescent="0.2">
      <c r="A19">
        <v>17</v>
      </c>
      <c r="B19" t="s">
        <v>107</v>
      </c>
      <c r="C19" t="s">
        <v>108</v>
      </c>
      <c r="D19" t="s">
        <v>109</v>
      </c>
      <c r="E19" t="s">
        <v>110</v>
      </c>
      <c r="F19" t="s">
        <v>111</v>
      </c>
      <c r="G19" t="s">
        <v>112</v>
      </c>
      <c r="H19">
        <v>0.76729999999999998</v>
      </c>
      <c r="J19" t="s">
        <v>307</v>
      </c>
      <c r="K19">
        <v>0.77200000000000002</v>
      </c>
      <c r="L19">
        <f t="shared" si="0"/>
        <v>-4.7000000000000375E-3</v>
      </c>
    </row>
    <row r="20" spans="1:12" x14ac:dyDescent="0.2">
      <c r="A20">
        <v>18</v>
      </c>
      <c r="B20" t="s">
        <v>113</v>
      </c>
      <c r="C20" t="s">
        <v>114</v>
      </c>
      <c r="D20" t="s">
        <v>115</v>
      </c>
      <c r="E20" t="s">
        <v>116</v>
      </c>
      <c r="F20" t="s">
        <v>117</v>
      </c>
      <c r="G20" t="s">
        <v>118</v>
      </c>
      <c r="H20">
        <v>0.70430000000000004</v>
      </c>
      <c r="J20" t="s">
        <v>118</v>
      </c>
      <c r="K20">
        <v>0.70430000000000004</v>
      </c>
      <c r="L20">
        <f t="shared" si="0"/>
        <v>0</v>
      </c>
    </row>
    <row r="21" spans="1:12" x14ac:dyDescent="0.2">
      <c r="A21">
        <v>19</v>
      </c>
      <c r="B21" t="s">
        <v>119</v>
      </c>
      <c r="C21" t="s">
        <v>120</v>
      </c>
      <c r="D21" t="s">
        <v>121</v>
      </c>
      <c r="E21" t="s">
        <v>122</v>
      </c>
      <c r="F21" t="s">
        <v>123</v>
      </c>
      <c r="G21" t="s">
        <v>124</v>
      </c>
      <c r="H21">
        <v>0.52100000000000002</v>
      </c>
      <c r="J21" t="s">
        <v>124</v>
      </c>
      <c r="K21">
        <v>0.52100000000000002</v>
      </c>
      <c r="L21">
        <f t="shared" si="0"/>
        <v>0</v>
      </c>
    </row>
    <row r="22" spans="1:12" x14ac:dyDescent="0.2">
      <c r="A22">
        <v>20</v>
      </c>
      <c r="B22" t="s">
        <v>125</v>
      </c>
      <c r="C22" t="s">
        <v>126</v>
      </c>
      <c r="D22" t="s">
        <v>127</v>
      </c>
      <c r="E22" t="s">
        <v>128</v>
      </c>
      <c r="F22" t="s">
        <v>129</v>
      </c>
      <c r="G22" t="s">
        <v>130</v>
      </c>
      <c r="H22">
        <v>0.69210000000000005</v>
      </c>
      <c r="J22" t="s">
        <v>130</v>
      </c>
      <c r="K22">
        <v>0.69210000000000005</v>
      </c>
      <c r="L22">
        <f t="shared" si="0"/>
        <v>0</v>
      </c>
    </row>
    <row r="23" spans="1:12" x14ac:dyDescent="0.2">
      <c r="A23">
        <v>21</v>
      </c>
      <c r="B23" t="s">
        <v>131</v>
      </c>
      <c r="C23" t="s">
        <v>132</v>
      </c>
      <c r="D23" t="s">
        <v>133</v>
      </c>
      <c r="E23" t="s">
        <v>134</v>
      </c>
      <c r="F23" t="s">
        <v>135</v>
      </c>
      <c r="G23" t="s">
        <v>136</v>
      </c>
      <c r="H23">
        <v>0.50129999999999997</v>
      </c>
      <c r="J23" t="s">
        <v>136</v>
      </c>
      <c r="K23">
        <v>0.50129999999999997</v>
      </c>
      <c r="L23">
        <f t="shared" si="0"/>
        <v>0</v>
      </c>
    </row>
    <row r="24" spans="1:12" x14ac:dyDescent="0.2">
      <c r="A24">
        <v>22</v>
      </c>
      <c r="B24" t="s">
        <v>137</v>
      </c>
      <c r="C24" t="s">
        <v>138</v>
      </c>
      <c r="D24" t="s">
        <v>139</v>
      </c>
      <c r="E24" t="s">
        <v>140</v>
      </c>
      <c r="F24" t="s">
        <v>141</v>
      </c>
      <c r="G24" t="s">
        <v>142</v>
      </c>
      <c r="H24">
        <v>0.54049999999999998</v>
      </c>
      <c r="J24" t="s">
        <v>308</v>
      </c>
      <c r="K24">
        <v>0.63549999999999995</v>
      </c>
      <c r="L24">
        <f t="shared" si="0"/>
        <v>-9.4999999999999973E-2</v>
      </c>
    </row>
    <row r="25" spans="1:12" x14ac:dyDescent="0.2">
      <c r="A25">
        <v>23</v>
      </c>
      <c r="B25" t="s">
        <v>143</v>
      </c>
      <c r="C25" t="s">
        <v>144</v>
      </c>
      <c r="D25" t="s">
        <v>145</v>
      </c>
      <c r="E25" t="s">
        <v>146</v>
      </c>
      <c r="F25" t="s">
        <v>147</v>
      </c>
      <c r="G25" t="s">
        <v>147</v>
      </c>
      <c r="H25">
        <v>1</v>
      </c>
      <c r="J25" t="s">
        <v>147</v>
      </c>
      <c r="K25">
        <v>1</v>
      </c>
      <c r="L25">
        <f t="shared" si="0"/>
        <v>0</v>
      </c>
    </row>
    <row r="26" spans="1:12" x14ac:dyDescent="0.2">
      <c r="A26">
        <v>24</v>
      </c>
      <c r="B26" t="s">
        <v>148</v>
      </c>
      <c r="C26" t="s">
        <v>149</v>
      </c>
      <c r="D26" t="s">
        <v>150</v>
      </c>
      <c r="E26" t="s">
        <v>151</v>
      </c>
      <c r="F26" t="s">
        <v>152</v>
      </c>
      <c r="G26" t="s">
        <v>153</v>
      </c>
      <c r="H26">
        <v>0.71099999999999997</v>
      </c>
      <c r="J26" t="s">
        <v>309</v>
      </c>
      <c r="K26">
        <v>0.63880000000000003</v>
      </c>
      <c r="L26">
        <f t="shared" si="0"/>
        <v>7.2199999999999931E-2</v>
      </c>
    </row>
    <row r="27" spans="1:12" x14ac:dyDescent="0.2">
      <c r="A27">
        <v>25</v>
      </c>
      <c r="B27" t="s">
        <v>154</v>
      </c>
      <c r="C27" t="s">
        <v>155</v>
      </c>
      <c r="D27" t="s">
        <v>156</v>
      </c>
      <c r="E27" t="s">
        <v>157</v>
      </c>
      <c r="F27" t="s">
        <v>158</v>
      </c>
      <c r="G27" t="s">
        <v>158</v>
      </c>
      <c r="H27">
        <v>1</v>
      </c>
      <c r="J27" t="s">
        <v>310</v>
      </c>
      <c r="K27">
        <v>0.69359999999999999</v>
      </c>
      <c r="L27">
        <f t="shared" si="0"/>
        <v>0.30640000000000001</v>
      </c>
    </row>
    <row r="28" spans="1:12" x14ac:dyDescent="0.2">
      <c r="A28">
        <v>26</v>
      </c>
      <c r="B28" t="s">
        <v>159</v>
      </c>
      <c r="C28" t="s">
        <v>160</v>
      </c>
      <c r="D28" t="s">
        <v>161</v>
      </c>
      <c r="E28" t="s">
        <v>162</v>
      </c>
      <c r="F28" t="s">
        <v>163</v>
      </c>
      <c r="G28" t="s">
        <v>164</v>
      </c>
      <c r="H28">
        <v>0.22869999999999999</v>
      </c>
      <c r="J28" t="s">
        <v>164</v>
      </c>
      <c r="K28">
        <v>0.22869999999999999</v>
      </c>
      <c r="L28">
        <f t="shared" si="0"/>
        <v>0</v>
      </c>
    </row>
    <row r="29" spans="1:12" x14ac:dyDescent="0.2">
      <c r="A29">
        <v>27</v>
      </c>
      <c r="B29" t="s">
        <v>165</v>
      </c>
      <c r="C29" t="s">
        <v>166</v>
      </c>
      <c r="D29" t="s">
        <v>167</v>
      </c>
      <c r="E29" t="s">
        <v>168</v>
      </c>
      <c r="F29" t="s">
        <v>169</v>
      </c>
      <c r="G29" t="s">
        <v>170</v>
      </c>
      <c r="H29">
        <v>0.73860000000000003</v>
      </c>
      <c r="J29" t="s">
        <v>170</v>
      </c>
      <c r="K29">
        <v>0.73860000000000003</v>
      </c>
      <c r="L29">
        <f t="shared" si="0"/>
        <v>0</v>
      </c>
    </row>
    <row r="30" spans="1:12" x14ac:dyDescent="0.2">
      <c r="A30">
        <v>28</v>
      </c>
      <c r="B30" t="s">
        <v>171</v>
      </c>
      <c r="C30" t="s">
        <v>172</v>
      </c>
      <c r="D30" t="s">
        <v>173</v>
      </c>
      <c r="E30" t="s">
        <v>174</v>
      </c>
      <c r="F30" t="s">
        <v>175</v>
      </c>
      <c r="G30" t="s">
        <v>176</v>
      </c>
      <c r="H30">
        <v>0.84950000000000003</v>
      </c>
      <c r="J30" t="s">
        <v>176</v>
      </c>
      <c r="K30">
        <v>0.84950000000000003</v>
      </c>
      <c r="L30">
        <f t="shared" si="0"/>
        <v>0</v>
      </c>
    </row>
    <row r="31" spans="1:12" x14ac:dyDescent="0.2">
      <c r="A31" s="2">
        <v>29</v>
      </c>
      <c r="B31" s="2" t="s">
        <v>177</v>
      </c>
      <c r="C31" s="2" t="s">
        <v>178</v>
      </c>
      <c r="D31" s="2" t="s">
        <v>179</v>
      </c>
      <c r="E31" s="2" t="s">
        <v>180</v>
      </c>
      <c r="F31" s="2" t="s">
        <v>181</v>
      </c>
      <c r="G31" s="2" t="s">
        <v>182</v>
      </c>
      <c r="H31" s="2">
        <v>0.82379999999999998</v>
      </c>
      <c r="I31" s="2"/>
      <c r="J31" s="2" t="s">
        <v>311</v>
      </c>
      <c r="K31" s="2">
        <v>0.93489999999999995</v>
      </c>
      <c r="L31" s="2">
        <f t="shared" si="0"/>
        <v>-0.11109999999999998</v>
      </c>
    </row>
    <row r="32" spans="1:12" x14ac:dyDescent="0.2">
      <c r="A32">
        <v>30</v>
      </c>
      <c r="B32" t="s">
        <v>183</v>
      </c>
      <c r="C32" t="s">
        <v>184</v>
      </c>
      <c r="D32" t="s">
        <v>185</v>
      </c>
      <c r="E32" t="s">
        <v>186</v>
      </c>
      <c r="F32" t="s">
        <v>187</v>
      </c>
      <c r="G32" t="s">
        <v>188</v>
      </c>
      <c r="H32">
        <v>0.54559999999999997</v>
      </c>
      <c r="J32" t="s">
        <v>188</v>
      </c>
      <c r="K32">
        <v>0.54559999999999997</v>
      </c>
      <c r="L32">
        <f t="shared" si="0"/>
        <v>0</v>
      </c>
    </row>
    <row r="33" spans="1:12" x14ac:dyDescent="0.2">
      <c r="A33">
        <v>31</v>
      </c>
      <c r="B33" t="s">
        <v>189</v>
      </c>
      <c r="C33" t="s">
        <v>190</v>
      </c>
      <c r="D33" t="s">
        <v>191</v>
      </c>
      <c r="E33" t="s">
        <v>192</v>
      </c>
      <c r="F33" t="s">
        <v>193</v>
      </c>
      <c r="G33" t="s">
        <v>193</v>
      </c>
      <c r="H33">
        <v>1</v>
      </c>
      <c r="J33" t="s">
        <v>193</v>
      </c>
      <c r="K33">
        <v>1</v>
      </c>
      <c r="L33">
        <f t="shared" si="0"/>
        <v>0</v>
      </c>
    </row>
    <row r="34" spans="1:12" x14ac:dyDescent="0.2">
      <c r="A34">
        <v>32</v>
      </c>
      <c r="B34" t="s">
        <v>194</v>
      </c>
      <c r="C34" t="s">
        <v>195</v>
      </c>
      <c r="D34" t="s">
        <v>196</v>
      </c>
      <c r="E34" t="s">
        <v>197</v>
      </c>
      <c r="F34" t="s">
        <v>198</v>
      </c>
      <c r="G34" t="s">
        <v>199</v>
      </c>
      <c r="H34">
        <v>0.87560000000000004</v>
      </c>
      <c r="J34" t="s">
        <v>199</v>
      </c>
      <c r="K34">
        <v>0.87560000000000004</v>
      </c>
      <c r="L34">
        <f t="shared" ref="L34:L51" si="1">H34-K34</f>
        <v>0</v>
      </c>
    </row>
    <row r="35" spans="1:12" x14ac:dyDescent="0.2">
      <c r="A35">
        <v>33</v>
      </c>
      <c r="B35" t="s">
        <v>200</v>
      </c>
      <c r="C35" t="s">
        <v>201</v>
      </c>
      <c r="D35" t="s">
        <v>202</v>
      </c>
      <c r="E35" t="s">
        <v>203</v>
      </c>
      <c r="F35" t="s">
        <v>204</v>
      </c>
      <c r="G35" t="s">
        <v>205</v>
      </c>
      <c r="H35">
        <v>0.81499999999999995</v>
      </c>
      <c r="J35" t="s">
        <v>312</v>
      </c>
      <c r="K35">
        <v>0.86080000000000001</v>
      </c>
      <c r="L35">
        <f t="shared" si="1"/>
        <v>-4.5800000000000063E-2</v>
      </c>
    </row>
    <row r="36" spans="1:12" x14ac:dyDescent="0.2">
      <c r="A36">
        <v>34</v>
      </c>
      <c r="B36" t="s">
        <v>206</v>
      </c>
      <c r="C36" t="s">
        <v>207</v>
      </c>
      <c r="D36" t="s">
        <v>208</v>
      </c>
      <c r="E36" t="s">
        <v>209</v>
      </c>
      <c r="F36" t="s">
        <v>210</v>
      </c>
      <c r="G36" t="s">
        <v>211</v>
      </c>
      <c r="H36">
        <v>0.38990000000000002</v>
      </c>
      <c r="J36" t="s">
        <v>211</v>
      </c>
      <c r="K36">
        <v>0.38990000000000002</v>
      </c>
      <c r="L36">
        <f t="shared" si="1"/>
        <v>0</v>
      </c>
    </row>
    <row r="37" spans="1:12" x14ac:dyDescent="0.2">
      <c r="A37">
        <v>35</v>
      </c>
      <c r="B37" t="s">
        <v>212</v>
      </c>
      <c r="C37" t="s">
        <v>213</v>
      </c>
      <c r="D37" t="s">
        <v>214</v>
      </c>
      <c r="E37" t="s">
        <v>215</v>
      </c>
      <c r="F37" t="s">
        <v>216</v>
      </c>
      <c r="G37" t="s">
        <v>217</v>
      </c>
      <c r="H37">
        <v>0.7984</v>
      </c>
      <c r="J37" t="s">
        <v>217</v>
      </c>
      <c r="K37">
        <v>0.7984</v>
      </c>
      <c r="L37">
        <f t="shared" si="1"/>
        <v>0</v>
      </c>
    </row>
    <row r="38" spans="1:12" x14ac:dyDescent="0.2">
      <c r="A38">
        <v>36</v>
      </c>
      <c r="B38" t="s">
        <v>218</v>
      </c>
      <c r="C38" t="s">
        <v>219</v>
      </c>
      <c r="D38" t="s">
        <v>220</v>
      </c>
      <c r="E38" t="s">
        <v>221</v>
      </c>
      <c r="F38" t="s">
        <v>222</v>
      </c>
      <c r="G38" t="s">
        <v>223</v>
      </c>
      <c r="H38">
        <v>0.45219999999999999</v>
      </c>
      <c r="J38" t="s">
        <v>223</v>
      </c>
      <c r="K38">
        <v>0.45219999999999999</v>
      </c>
      <c r="L38">
        <f t="shared" si="1"/>
        <v>0</v>
      </c>
    </row>
    <row r="39" spans="1:12" x14ac:dyDescent="0.2">
      <c r="A39">
        <v>37</v>
      </c>
      <c r="B39" t="s">
        <v>224</v>
      </c>
      <c r="C39" t="s">
        <v>225</v>
      </c>
      <c r="D39" t="s">
        <v>226</v>
      </c>
      <c r="E39" t="s">
        <v>227</v>
      </c>
      <c r="F39" t="s">
        <v>228</v>
      </c>
      <c r="G39" t="s">
        <v>229</v>
      </c>
      <c r="H39">
        <v>0.75580000000000003</v>
      </c>
      <c r="J39" t="s">
        <v>229</v>
      </c>
      <c r="K39">
        <v>0.75580000000000003</v>
      </c>
      <c r="L39">
        <f t="shared" si="1"/>
        <v>0</v>
      </c>
    </row>
    <row r="40" spans="1:12" x14ac:dyDescent="0.2">
      <c r="A40">
        <v>38</v>
      </c>
      <c r="B40" t="s">
        <v>230</v>
      </c>
      <c r="C40" t="s">
        <v>231</v>
      </c>
      <c r="D40" t="s">
        <v>232</v>
      </c>
      <c r="E40" t="s">
        <v>233</v>
      </c>
      <c r="F40" t="s">
        <v>234</v>
      </c>
      <c r="G40" t="s">
        <v>235</v>
      </c>
      <c r="H40">
        <v>0.23769999999999999</v>
      </c>
      <c r="J40" t="s">
        <v>235</v>
      </c>
      <c r="K40">
        <v>0.23769999999999999</v>
      </c>
      <c r="L40">
        <f t="shared" si="1"/>
        <v>0</v>
      </c>
    </row>
    <row r="41" spans="1:12" s="5" customFormat="1" x14ac:dyDescent="0.2">
      <c r="A41" s="5">
        <v>39</v>
      </c>
      <c r="B41" s="5" t="s">
        <v>236</v>
      </c>
      <c r="C41" s="5" t="s">
        <v>237</v>
      </c>
      <c r="D41" s="5" t="s">
        <v>238</v>
      </c>
      <c r="E41" s="5" t="s">
        <v>239</v>
      </c>
      <c r="F41" s="5" t="s">
        <v>240</v>
      </c>
      <c r="G41" s="5" t="s">
        <v>241</v>
      </c>
      <c r="H41" s="5">
        <v>0.50670000000000004</v>
      </c>
      <c r="J41" s="5" t="s">
        <v>241</v>
      </c>
      <c r="K41" s="5">
        <v>0.50670000000000004</v>
      </c>
      <c r="L41" s="5">
        <f t="shared" si="1"/>
        <v>0</v>
      </c>
    </row>
    <row r="42" spans="1:12" x14ac:dyDescent="0.2">
      <c r="A42">
        <v>40</v>
      </c>
      <c r="B42" t="s">
        <v>242</v>
      </c>
      <c r="C42" t="s">
        <v>243</v>
      </c>
      <c r="D42" t="s">
        <v>244</v>
      </c>
      <c r="E42" t="s">
        <v>245</v>
      </c>
      <c r="F42" t="s">
        <v>246</v>
      </c>
      <c r="G42" t="s">
        <v>247</v>
      </c>
      <c r="H42">
        <v>0.72760000000000002</v>
      </c>
      <c r="J42" t="s">
        <v>313</v>
      </c>
      <c r="K42">
        <v>0.6946</v>
      </c>
      <c r="L42">
        <f t="shared" si="1"/>
        <v>3.3000000000000029E-2</v>
      </c>
    </row>
    <row r="43" spans="1:12" x14ac:dyDescent="0.2">
      <c r="A43">
        <v>41</v>
      </c>
      <c r="B43" t="s">
        <v>248</v>
      </c>
      <c r="C43" t="s">
        <v>249</v>
      </c>
      <c r="D43" t="s">
        <v>250</v>
      </c>
      <c r="E43" t="s">
        <v>251</v>
      </c>
      <c r="F43" t="s">
        <v>252</v>
      </c>
      <c r="G43" t="s">
        <v>252</v>
      </c>
      <c r="H43">
        <v>1</v>
      </c>
      <c r="J43" t="s">
        <v>252</v>
      </c>
      <c r="K43">
        <v>1</v>
      </c>
      <c r="L43">
        <f t="shared" si="1"/>
        <v>0</v>
      </c>
    </row>
    <row r="44" spans="1:12" x14ac:dyDescent="0.2">
      <c r="A44">
        <v>42</v>
      </c>
      <c r="B44" t="s">
        <v>253</v>
      </c>
      <c r="C44" t="s">
        <v>254</v>
      </c>
      <c r="D44" t="s">
        <v>255</v>
      </c>
      <c r="E44" t="s">
        <v>256</v>
      </c>
      <c r="F44" t="s">
        <v>257</v>
      </c>
      <c r="G44" t="s">
        <v>258</v>
      </c>
      <c r="H44">
        <v>0.77500000000000002</v>
      </c>
      <c r="J44" t="s">
        <v>258</v>
      </c>
      <c r="K44">
        <v>0.77500000000000002</v>
      </c>
      <c r="L44">
        <f t="shared" si="1"/>
        <v>0</v>
      </c>
    </row>
    <row r="45" spans="1:12" x14ac:dyDescent="0.2">
      <c r="A45">
        <v>43</v>
      </c>
      <c r="B45" t="s">
        <v>259</v>
      </c>
      <c r="C45" t="s">
        <v>260</v>
      </c>
      <c r="D45" t="s">
        <v>261</v>
      </c>
      <c r="E45" t="s">
        <v>262</v>
      </c>
      <c r="F45" t="s">
        <v>263</v>
      </c>
      <c r="G45" t="s">
        <v>264</v>
      </c>
      <c r="H45">
        <v>0.96740000000000004</v>
      </c>
      <c r="J45" t="s">
        <v>314</v>
      </c>
      <c r="K45">
        <v>0.60060000000000002</v>
      </c>
      <c r="L45">
        <f t="shared" si="1"/>
        <v>0.36680000000000001</v>
      </c>
    </row>
    <row r="46" spans="1:12" x14ac:dyDescent="0.2">
      <c r="A46">
        <v>44</v>
      </c>
      <c r="B46" t="s">
        <v>265</v>
      </c>
      <c r="C46" t="s">
        <v>266</v>
      </c>
      <c r="D46" t="s">
        <v>267</v>
      </c>
      <c r="E46" t="s">
        <v>268</v>
      </c>
      <c r="F46" t="s">
        <v>269</v>
      </c>
      <c r="G46" t="s">
        <v>270</v>
      </c>
      <c r="H46">
        <v>0.56889999999999996</v>
      </c>
      <c r="J46" t="s">
        <v>315</v>
      </c>
      <c r="K46">
        <v>0.63590000000000002</v>
      </c>
      <c r="L46">
        <f t="shared" si="1"/>
        <v>-6.700000000000006E-2</v>
      </c>
    </row>
    <row r="47" spans="1:12" x14ac:dyDescent="0.2">
      <c r="A47">
        <v>45</v>
      </c>
      <c r="B47" t="s">
        <v>271</v>
      </c>
      <c r="C47" t="s">
        <v>272</v>
      </c>
      <c r="D47" t="s">
        <v>273</v>
      </c>
      <c r="E47" t="s">
        <v>274</v>
      </c>
      <c r="F47" t="s">
        <v>275</v>
      </c>
      <c r="G47" t="s">
        <v>276</v>
      </c>
      <c r="H47">
        <v>0.88</v>
      </c>
      <c r="J47" t="s">
        <v>276</v>
      </c>
      <c r="K47">
        <v>0.88</v>
      </c>
      <c r="L47">
        <f t="shared" si="1"/>
        <v>0</v>
      </c>
    </row>
    <row r="48" spans="1:12" s="5" customFormat="1" ht="243" x14ac:dyDescent="0.25">
      <c r="A48" s="5">
        <v>46</v>
      </c>
      <c r="B48" s="5" t="s">
        <v>277</v>
      </c>
      <c r="C48" s="5" t="s">
        <v>278</v>
      </c>
      <c r="D48" s="6" t="s">
        <v>279</v>
      </c>
      <c r="E48" s="6" t="s">
        <v>324</v>
      </c>
      <c r="F48" s="8" t="s">
        <v>281</v>
      </c>
      <c r="G48" s="5" t="s">
        <v>282</v>
      </c>
      <c r="H48" s="5">
        <v>0.66510000000000002</v>
      </c>
      <c r="J48" s="5" t="s">
        <v>282</v>
      </c>
      <c r="K48" s="5">
        <v>0.66510000000000002</v>
      </c>
      <c r="L48" s="5">
        <f t="shared" si="1"/>
        <v>0</v>
      </c>
    </row>
    <row r="49" spans="1:12" ht="245.1" customHeight="1" x14ac:dyDescent="0.25">
      <c r="A49">
        <v>47</v>
      </c>
      <c r="B49" t="s">
        <v>283</v>
      </c>
      <c r="C49" t="s">
        <v>284</v>
      </c>
      <c r="D49" s="4" t="s">
        <v>285</v>
      </c>
      <c r="E49" s="4" t="s">
        <v>319</v>
      </c>
      <c r="F49" t="s">
        <v>287</v>
      </c>
      <c r="G49" t="s">
        <v>287</v>
      </c>
      <c r="H49">
        <v>1</v>
      </c>
      <c r="J49" t="s">
        <v>316</v>
      </c>
      <c r="K49">
        <v>0.2772</v>
      </c>
      <c r="L49">
        <f t="shared" si="1"/>
        <v>0.7228</v>
      </c>
    </row>
    <row r="50" spans="1:12" s="5" customFormat="1" ht="186" x14ac:dyDescent="0.25">
      <c r="A50" s="5">
        <v>48</v>
      </c>
      <c r="B50" s="5" t="s">
        <v>288</v>
      </c>
      <c r="C50" s="5" t="s">
        <v>289</v>
      </c>
      <c r="D50" s="6" t="s">
        <v>290</v>
      </c>
      <c r="E50" s="6" t="s">
        <v>323</v>
      </c>
      <c r="F50" s="5" t="s">
        <v>292</v>
      </c>
      <c r="G50" s="5" t="s">
        <v>293</v>
      </c>
      <c r="H50" s="5">
        <v>0.60829999999999995</v>
      </c>
      <c r="J50" s="5" t="s">
        <v>317</v>
      </c>
      <c r="K50" s="5">
        <v>0.56779999999999997</v>
      </c>
      <c r="L50" s="5">
        <f t="shared" si="1"/>
        <v>4.049999999999998E-2</v>
      </c>
    </row>
    <row r="51" spans="1:12" x14ac:dyDescent="0.2">
      <c r="A51">
        <v>49</v>
      </c>
      <c r="B51" t="s">
        <v>294</v>
      </c>
      <c r="C51" t="s">
        <v>295</v>
      </c>
      <c r="D51" t="s">
        <v>296</v>
      </c>
      <c r="E51" t="s">
        <v>297</v>
      </c>
      <c r="F51" t="s">
        <v>298</v>
      </c>
      <c r="G51" t="s">
        <v>298</v>
      </c>
      <c r="H51">
        <v>0.99980000000000002</v>
      </c>
      <c r="J51" t="s">
        <v>298</v>
      </c>
      <c r="K51">
        <v>0.99980000000000002</v>
      </c>
      <c r="L51">
        <f t="shared" si="1"/>
        <v>0</v>
      </c>
    </row>
  </sheetData>
  <autoFilter ref="A1:L52" xr:uid="{00000000-0001-0000-0000-000000000000}">
    <sortState xmlns:xlrd2="http://schemas.microsoft.com/office/spreadsheetml/2017/richdata2" ref="A2:L51">
      <sortCondition ref="A1:A52"/>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2025-11-06T09:42:51Z</dcterms:created>
  <dcterms:modified xsi:type="dcterms:W3CDTF">2025-11-21T15:40:20Z</dcterms:modified>
</cp:coreProperties>
</file>